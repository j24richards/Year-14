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24ri\Desktop\Fantasy Football\Year\Year 14\"/>
    </mc:Choice>
  </mc:AlternateContent>
  <xr:revisionPtr revIDLastSave="0" documentId="13_ncr:1_{CF2CF340-B333-4437-8117-B67B2A7D24B4}" xr6:coauthVersionLast="47" xr6:coauthVersionMax="47" xr10:uidLastSave="{00000000-0000-0000-0000-000000000000}"/>
  <bookViews>
    <workbookView xWindow="28680" yWindow="-120" windowWidth="20640" windowHeight="11040" tabRatio="863" activeTab="1" xr2:uid="{4B603F8F-C207-406C-A7A7-2FA229457BFE}"/>
  </bookViews>
  <sheets>
    <sheet name="2026 Outlook" sheetId="27" r:id="rId1"/>
    <sheet name="2025 Rosters" sheetId="24" r:id="rId2"/>
    <sheet name="Allen's Wayside Furniture" sheetId="29" r:id="rId3"/>
    <sheet name="Dumpster Fire" sheetId="30" r:id="rId4"/>
    <sheet name="Huge Ditka" sheetId="31" r:id="rId5"/>
    <sheet name="Jimmy Jones Cutlets" sheetId="32" r:id="rId6"/>
    <sheet name="Leeroy Judkins" sheetId="33" r:id="rId7"/>
    <sheet name="My Ball Zach Ertz" sheetId="34" r:id="rId8"/>
    <sheet name="Prestige Worldwide" sheetId="35" r:id="rId9"/>
    <sheet name="Run CMC" sheetId="36" r:id="rId10"/>
    <sheet name="Terry Glenn" sheetId="37" r:id="rId11"/>
    <sheet name="White Pool Covers" sheetId="38" r:id="rId12"/>
    <sheet name="2025 Draft Results" sheetId="22" r:id="rId13"/>
    <sheet name="2025 Keepers" sheetId="20" r:id="rId14"/>
  </sheets>
  <definedNames>
    <definedName name="_xlnm._FilterDatabase" localSheetId="0" hidden="1">'2026 Outlook'!$A$1:$N$1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38" l="1"/>
  <c r="B26" i="38"/>
  <c r="B25" i="38"/>
  <c r="B24" i="38"/>
  <c r="B23" i="38"/>
  <c r="B22" i="38"/>
  <c r="B21" i="38"/>
  <c r="B28" i="37"/>
  <c r="B27" i="37"/>
  <c r="B26" i="37"/>
  <c r="B25" i="37"/>
  <c r="B24" i="37"/>
  <c r="B23" i="37"/>
  <c r="B22" i="37"/>
  <c r="B28" i="36"/>
  <c r="B27" i="36"/>
  <c r="B26" i="36"/>
  <c r="B25" i="36"/>
  <c r="B24" i="36"/>
  <c r="B23" i="36"/>
  <c r="B22" i="36"/>
  <c r="B26" i="35"/>
  <c r="B25" i="35"/>
  <c r="B24" i="35"/>
  <c r="B23" i="35"/>
  <c r="B22" i="35"/>
  <c r="B21" i="35"/>
  <c r="B20" i="35"/>
  <c r="B27" i="34"/>
  <c r="B26" i="34"/>
  <c r="B25" i="34"/>
  <c r="B24" i="34"/>
  <c r="B23" i="34"/>
  <c r="B22" i="34"/>
  <c r="B21" i="34"/>
  <c r="B28" i="33"/>
  <c r="B27" i="33"/>
  <c r="B26" i="33"/>
  <c r="B25" i="33"/>
  <c r="B24" i="33"/>
  <c r="B23" i="33"/>
  <c r="B22" i="33"/>
  <c r="B25" i="32"/>
  <c r="B24" i="32"/>
  <c r="B23" i="32"/>
  <c r="B22" i="32"/>
  <c r="B21" i="32"/>
  <c r="B20" i="32"/>
  <c r="B19" i="32"/>
  <c r="B27" i="31"/>
  <c r="B26" i="31"/>
  <c r="B25" i="31"/>
  <c r="B24" i="31"/>
  <c r="B23" i="31"/>
  <c r="B22" i="31"/>
  <c r="B21" i="31"/>
  <c r="B26" i="30"/>
  <c r="B25" i="30"/>
  <c r="B24" i="30"/>
  <c r="B23" i="30"/>
  <c r="B22" i="30"/>
  <c r="B21" i="30"/>
  <c r="B20" i="30"/>
  <c r="B27" i="29"/>
  <c r="B26" i="29"/>
  <c r="B25" i="29"/>
  <c r="B24" i="29"/>
  <c r="B23" i="29"/>
  <c r="B22" i="29"/>
  <c r="B21" i="29"/>
  <c r="A3" i="38" a="1"/>
  <c r="A3" i="38" s="1"/>
  <c r="A3" i="37" a="1"/>
  <c r="A3" i="37" s="1"/>
  <c r="A3" i="36" a="1"/>
  <c r="A3" i="36" s="1"/>
  <c r="A3" i="35" a="1"/>
  <c r="A3" i="35" s="1"/>
  <c r="A3" i="34" a="1"/>
  <c r="A3" i="34" s="1"/>
  <c r="A3" i="33" a="1"/>
  <c r="A3" i="33" s="1"/>
  <c r="A3" i="32" a="1"/>
  <c r="A3" i="32" s="1"/>
  <c r="A3" i="31" a="1"/>
  <c r="A3" i="31" s="1"/>
  <c r="A3" i="30" a="1"/>
  <c r="A3" i="30" s="1"/>
  <c r="A3" i="29" a="1"/>
  <c r="A3" i="29" s="1"/>
  <c r="N9" i="38"/>
  <c r="N8" i="38"/>
  <c r="N7" i="38" a="1"/>
  <c r="N7" i="38" s="1"/>
  <c r="N6" i="38"/>
  <c r="N5" i="38"/>
  <c r="N4" i="38"/>
  <c r="N3" i="38"/>
  <c r="N9" i="37"/>
  <c r="N8" i="37"/>
  <c r="N7" i="37" a="1"/>
  <c r="N7" i="37" s="1"/>
  <c r="N6" i="37"/>
  <c r="N5" i="37"/>
  <c r="N4" i="37"/>
  <c r="N3" i="37"/>
  <c r="N9" i="36"/>
  <c r="N8" i="36"/>
  <c r="N7" i="36" a="1"/>
  <c r="N7" i="36" s="1"/>
  <c r="N6" i="36"/>
  <c r="N5" i="36"/>
  <c r="N4" i="36"/>
  <c r="N3" i="36"/>
  <c r="N9" i="35"/>
  <c r="N8" i="35"/>
  <c r="N7" i="35" a="1"/>
  <c r="N7" i="35" s="1"/>
  <c r="N6" i="35"/>
  <c r="N5" i="35"/>
  <c r="N4" i="35"/>
  <c r="N3" i="35"/>
  <c r="N9" i="34"/>
  <c r="N8" i="34"/>
  <c r="N7" i="34" a="1"/>
  <c r="N7" i="34" s="1"/>
  <c r="N6" i="34"/>
  <c r="N5" i="34"/>
  <c r="N4" i="34"/>
  <c r="N3" i="34"/>
  <c r="N9" i="33"/>
  <c r="N8" i="33"/>
  <c r="N7" i="33" a="1"/>
  <c r="N7" i="33" s="1"/>
  <c r="N6" i="33"/>
  <c r="N5" i="33"/>
  <c r="N4" i="33"/>
  <c r="N3" i="33"/>
  <c r="N9" i="32"/>
  <c r="N8" i="32"/>
  <c r="N7" i="32" a="1"/>
  <c r="N7" i="32" s="1"/>
  <c r="N6" i="32"/>
  <c r="N5" i="32"/>
  <c r="N4" i="32"/>
  <c r="N3" i="32"/>
  <c r="N9" i="31"/>
  <c r="N8" i="31"/>
  <c r="N7" i="31" a="1"/>
  <c r="N7" i="31" s="1"/>
  <c r="N6" i="31"/>
  <c r="N5" i="31"/>
  <c r="N4" i="31"/>
  <c r="N3" i="31"/>
  <c r="N9" i="30"/>
  <c r="N8" i="30"/>
  <c r="N7" i="30" a="1"/>
  <c r="N7" i="30" s="1"/>
  <c r="N6" i="30"/>
  <c r="N5" i="30"/>
  <c r="N4" i="30"/>
  <c r="N3" i="30"/>
  <c r="N9" i="29"/>
  <c r="N8" i="29"/>
  <c r="N7" i="29" a="1"/>
  <c r="N7" i="29" s="1"/>
  <c r="N6" i="29"/>
  <c r="N5" i="29"/>
  <c r="N4" i="29"/>
  <c r="N3" i="29"/>
  <c r="A2" i="38"/>
  <c r="B2" i="38"/>
  <c r="C2" i="38"/>
  <c r="D2" i="38"/>
  <c r="E2" i="38"/>
  <c r="F2" i="38"/>
  <c r="G2" i="38"/>
  <c r="H2" i="38"/>
  <c r="I2" i="38"/>
  <c r="J2" i="38"/>
  <c r="K2" i="38"/>
  <c r="A2" i="37"/>
  <c r="B2" i="37"/>
  <c r="C2" i="37"/>
  <c r="D2" i="37"/>
  <c r="E2" i="37"/>
  <c r="F2" i="37"/>
  <c r="G2" i="37"/>
  <c r="H2" i="37"/>
  <c r="I2" i="37"/>
  <c r="J2" i="37"/>
  <c r="K2" i="37"/>
  <c r="A2" i="36"/>
  <c r="B2" i="36"/>
  <c r="C2" i="36"/>
  <c r="D2" i="36"/>
  <c r="E2" i="36"/>
  <c r="F2" i="36"/>
  <c r="G2" i="36"/>
  <c r="H2" i="36"/>
  <c r="I2" i="36"/>
  <c r="J2" i="36"/>
  <c r="K2" i="36"/>
  <c r="A2" i="35"/>
  <c r="B2" i="35"/>
  <c r="C2" i="35"/>
  <c r="D2" i="35"/>
  <c r="E2" i="35"/>
  <c r="F2" i="35"/>
  <c r="G2" i="35"/>
  <c r="H2" i="35"/>
  <c r="I2" i="35"/>
  <c r="J2" i="35"/>
  <c r="K2" i="35"/>
  <c r="A2" i="34"/>
  <c r="B2" i="34"/>
  <c r="C2" i="34"/>
  <c r="D2" i="34"/>
  <c r="E2" i="34"/>
  <c r="F2" i="34"/>
  <c r="G2" i="34"/>
  <c r="H2" i="34"/>
  <c r="I2" i="34"/>
  <c r="J2" i="34"/>
  <c r="K2" i="34"/>
  <c r="A2" i="33"/>
  <c r="B2" i="33"/>
  <c r="C2" i="33"/>
  <c r="D2" i="33"/>
  <c r="E2" i="33"/>
  <c r="F2" i="33"/>
  <c r="G2" i="33"/>
  <c r="H2" i="33"/>
  <c r="I2" i="33"/>
  <c r="J2" i="33"/>
  <c r="K2" i="33"/>
  <c r="A2" i="32"/>
  <c r="B2" i="32"/>
  <c r="C2" i="32"/>
  <c r="D2" i="32"/>
  <c r="E2" i="32"/>
  <c r="F2" i="32"/>
  <c r="G2" i="32"/>
  <c r="H2" i="32"/>
  <c r="I2" i="32"/>
  <c r="J2" i="32"/>
  <c r="K2" i="32"/>
  <c r="A2" i="31"/>
  <c r="B2" i="31"/>
  <c r="C2" i="31"/>
  <c r="D2" i="31"/>
  <c r="E2" i="31"/>
  <c r="F2" i="31"/>
  <c r="G2" i="31"/>
  <c r="H2" i="31"/>
  <c r="I2" i="31"/>
  <c r="J2" i="31"/>
  <c r="K2" i="31"/>
  <c r="A2" i="30"/>
  <c r="B2" i="30"/>
  <c r="C2" i="30"/>
  <c r="D2" i="30"/>
  <c r="E2" i="30"/>
  <c r="F2" i="30"/>
  <c r="G2" i="30"/>
  <c r="H2" i="30"/>
  <c r="I2" i="30"/>
  <c r="J2" i="30"/>
  <c r="K2" i="30"/>
  <c r="A2" i="29"/>
  <c r="B2" i="29"/>
  <c r="C2" i="29"/>
  <c r="D2" i="29"/>
  <c r="E2" i="29"/>
  <c r="F2" i="29"/>
  <c r="G2" i="29"/>
  <c r="H2" i="29"/>
  <c r="I2" i="29"/>
  <c r="J2" i="29"/>
  <c r="K2" i="29"/>
  <c r="G129" i="27"/>
  <c r="I129" i="27" s="1"/>
  <c r="G130" i="27"/>
  <c r="I130" i="27" s="1"/>
  <c r="G131" i="27"/>
  <c r="I131" i="27" s="1"/>
  <c r="G132" i="27"/>
  <c r="I132" i="27" s="1"/>
  <c r="G133" i="27"/>
  <c r="I133" i="27" s="1"/>
  <c r="G134" i="27"/>
  <c r="I134" i="27" s="1"/>
  <c r="G135" i="27"/>
  <c r="I135" i="27" s="1"/>
  <c r="G136" i="27"/>
  <c r="I136" i="27" s="1"/>
  <c r="G137" i="27"/>
  <c r="I137" i="27" s="1"/>
  <c r="G138" i="27"/>
  <c r="I138" i="27" s="1"/>
  <c r="G139" i="27"/>
  <c r="I139" i="27" s="1"/>
  <c r="G140" i="27"/>
  <c r="I140" i="27" s="1"/>
  <c r="G141" i="27"/>
  <c r="I141" i="27" s="1"/>
  <c r="G142" i="27"/>
  <c r="I142" i="27" s="1"/>
  <c r="G143" i="27"/>
  <c r="I143" i="27" s="1"/>
  <c r="G144" i="27"/>
  <c r="I144" i="27" s="1"/>
  <c r="G145" i="27"/>
  <c r="I145" i="27" s="1"/>
  <c r="G146" i="27"/>
  <c r="I146" i="27" s="1"/>
  <c r="G147" i="27"/>
  <c r="I147" i="27" s="1"/>
  <c r="G148" i="27"/>
  <c r="I148" i="27" s="1"/>
  <c r="G149" i="27"/>
  <c r="I149" i="27" s="1"/>
  <c r="G150" i="27"/>
  <c r="I150" i="27" s="1"/>
  <c r="G151" i="27"/>
  <c r="I151" i="27" s="1"/>
  <c r="G152" i="27"/>
  <c r="I152" i="27" s="1"/>
  <c r="G153" i="27"/>
  <c r="I153" i="27" s="1"/>
  <c r="G154" i="27"/>
  <c r="I154" i="27" s="1"/>
  <c r="G155" i="27"/>
  <c r="I155" i="27" s="1"/>
  <c r="G156" i="27"/>
  <c r="I156" i="27" s="1"/>
  <c r="G157" i="27"/>
  <c r="I157" i="27" s="1"/>
  <c r="G158" i="27"/>
  <c r="I158" i="27" s="1"/>
  <c r="G159" i="27"/>
  <c r="I159" i="27" s="1"/>
  <c r="G160" i="27"/>
  <c r="I160" i="27" s="1"/>
  <c r="G161" i="27"/>
  <c r="I161" i="27" s="1"/>
  <c r="G162" i="27"/>
  <c r="I162" i="27" s="1"/>
  <c r="G4" i="27"/>
  <c r="I4" i="27" s="1"/>
  <c r="G5" i="27"/>
  <c r="I5" i="27" s="1"/>
  <c r="G6" i="27"/>
  <c r="I6" i="27" s="1"/>
  <c r="G7" i="27"/>
  <c r="I7" i="27" s="1"/>
  <c r="G8" i="27"/>
  <c r="I8" i="27" s="1"/>
  <c r="G9" i="27"/>
  <c r="I9" i="27" s="1"/>
  <c r="G10" i="27"/>
  <c r="I10" i="27" s="1"/>
  <c r="G11" i="27"/>
  <c r="I11" i="27" s="1"/>
  <c r="G12" i="27"/>
  <c r="I12" i="27" s="1"/>
  <c r="G13" i="27"/>
  <c r="I13" i="27" s="1"/>
  <c r="G14" i="27"/>
  <c r="I14" i="27" s="1"/>
  <c r="G15" i="27"/>
  <c r="I15" i="27" s="1"/>
  <c r="G16" i="27"/>
  <c r="I16" i="27" s="1"/>
  <c r="G17" i="27"/>
  <c r="I17" i="27" s="1"/>
  <c r="G18" i="27"/>
  <c r="I18" i="27" s="1"/>
  <c r="G19" i="27"/>
  <c r="I19" i="27" s="1"/>
  <c r="G20" i="27"/>
  <c r="I20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G38" i="27"/>
  <c r="I38" i="27" s="1"/>
  <c r="G39" i="27"/>
  <c r="I39" i="27" s="1"/>
  <c r="G40" i="27"/>
  <c r="I40" i="27" s="1"/>
  <c r="G41" i="27"/>
  <c r="I41" i="27" s="1"/>
  <c r="G42" i="27"/>
  <c r="I42" i="27" s="1"/>
  <c r="G43" i="27"/>
  <c r="I43" i="27" s="1"/>
  <c r="G44" i="27"/>
  <c r="I44" i="27" s="1"/>
  <c r="G45" i="27"/>
  <c r="I45" i="27" s="1"/>
  <c r="G46" i="27"/>
  <c r="I46" i="27" s="1"/>
  <c r="G47" i="27"/>
  <c r="I47" i="27" s="1"/>
  <c r="G48" i="27"/>
  <c r="I48" i="27" s="1"/>
  <c r="G49" i="27"/>
  <c r="I49" i="27" s="1"/>
  <c r="G50" i="27"/>
  <c r="I50" i="27" s="1"/>
  <c r="G51" i="27"/>
  <c r="I51" i="27" s="1"/>
  <c r="G52" i="27"/>
  <c r="I52" i="27" s="1"/>
  <c r="G53" i="27"/>
  <c r="I53" i="27" s="1"/>
  <c r="G54" i="27"/>
  <c r="I54" i="27" s="1"/>
  <c r="G55" i="27"/>
  <c r="I55" i="27" s="1"/>
  <c r="G56" i="27"/>
  <c r="I56" i="27" s="1"/>
  <c r="G57" i="27"/>
  <c r="I57" i="27" s="1"/>
  <c r="G58" i="27"/>
  <c r="I58" i="27" s="1"/>
  <c r="G59" i="27"/>
  <c r="I59" i="27" s="1"/>
  <c r="G60" i="27"/>
  <c r="I60" i="27" s="1"/>
  <c r="G61" i="27"/>
  <c r="I61" i="27" s="1"/>
  <c r="G62" i="27"/>
  <c r="I62" i="27" s="1"/>
  <c r="G63" i="27"/>
  <c r="I63" i="27" s="1"/>
  <c r="G64" i="27"/>
  <c r="I64" i="27" s="1"/>
  <c r="G65" i="27"/>
  <c r="I65" i="27" s="1"/>
  <c r="G66" i="27"/>
  <c r="I66" i="27" s="1"/>
  <c r="G67" i="27"/>
  <c r="I67" i="27" s="1"/>
  <c r="G68" i="27"/>
  <c r="I68" i="27" s="1"/>
  <c r="G69" i="27"/>
  <c r="I69" i="27" s="1"/>
  <c r="G70" i="27"/>
  <c r="I70" i="27" s="1"/>
  <c r="G71" i="27"/>
  <c r="I71" i="27" s="1"/>
  <c r="G72" i="27"/>
  <c r="I72" i="27" s="1"/>
  <c r="G73" i="27"/>
  <c r="I73" i="27" s="1"/>
  <c r="G74" i="27"/>
  <c r="I74" i="27" s="1"/>
  <c r="G75" i="27"/>
  <c r="I75" i="27" s="1"/>
  <c r="G76" i="27"/>
  <c r="I76" i="27" s="1"/>
  <c r="G77" i="27"/>
  <c r="I77" i="27" s="1"/>
  <c r="G78" i="27"/>
  <c r="I78" i="27" s="1"/>
  <c r="G79" i="27"/>
  <c r="I79" i="27" s="1"/>
  <c r="G80" i="27"/>
  <c r="I80" i="27" s="1"/>
  <c r="G81" i="27"/>
  <c r="I81" i="27" s="1"/>
  <c r="G82" i="27"/>
  <c r="I82" i="27" s="1"/>
  <c r="G83" i="27"/>
  <c r="I83" i="27" s="1"/>
  <c r="G84" i="27"/>
  <c r="I84" i="27" s="1"/>
  <c r="G85" i="27"/>
  <c r="I85" i="27" s="1"/>
  <c r="G86" i="27"/>
  <c r="I86" i="27" s="1"/>
  <c r="G87" i="27"/>
  <c r="I87" i="27" s="1"/>
  <c r="G88" i="27"/>
  <c r="I88" i="27" s="1"/>
  <c r="G89" i="27"/>
  <c r="I89" i="27" s="1"/>
  <c r="G90" i="27"/>
  <c r="I90" i="27" s="1"/>
  <c r="G91" i="27"/>
  <c r="I91" i="27" s="1"/>
  <c r="G92" i="27"/>
  <c r="I92" i="27" s="1"/>
  <c r="G93" i="27"/>
  <c r="I93" i="27" s="1"/>
  <c r="G94" i="27"/>
  <c r="I94" i="27" s="1"/>
  <c r="G95" i="27"/>
  <c r="I95" i="27" s="1"/>
  <c r="G96" i="27"/>
  <c r="I96" i="27" s="1"/>
  <c r="G97" i="27"/>
  <c r="I97" i="27" s="1"/>
  <c r="G98" i="27"/>
  <c r="I98" i="27" s="1"/>
  <c r="G99" i="27"/>
  <c r="I99" i="27" s="1"/>
  <c r="G100" i="27"/>
  <c r="I100" i="27" s="1"/>
  <c r="G101" i="27"/>
  <c r="I101" i="27" s="1"/>
  <c r="G102" i="27"/>
  <c r="I102" i="27" s="1"/>
  <c r="G103" i="27"/>
  <c r="I103" i="27" s="1"/>
  <c r="G104" i="27"/>
  <c r="I104" i="27" s="1"/>
  <c r="G105" i="27"/>
  <c r="I105" i="27" s="1"/>
  <c r="G106" i="27"/>
  <c r="I106" i="27" s="1"/>
  <c r="G107" i="27"/>
  <c r="I107" i="27" s="1"/>
  <c r="G108" i="27"/>
  <c r="I108" i="27" s="1"/>
  <c r="G109" i="27"/>
  <c r="I109" i="27" s="1"/>
  <c r="G110" i="27"/>
  <c r="I110" i="27" s="1"/>
  <c r="G111" i="27"/>
  <c r="I111" i="27" s="1"/>
  <c r="G112" i="27"/>
  <c r="I112" i="27" s="1"/>
  <c r="G113" i="27"/>
  <c r="I113" i="27" s="1"/>
  <c r="G114" i="27"/>
  <c r="I114" i="27" s="1"/>
  <c r="G115" i="27"/>
  <c r="I115" i="27" s="1"/>
  <c r="G116" i="27"/>
  <c r="I116" i="27" s="1"/>
  <c r="G117" i="27"/>
  <c r="I117" i="27" s="1"/>
  <c r="G118" i="27"/>
  <c r="I118" i="27" s="1"/>
  <c r="G119" i="27"/>
  <c r="I119" i="27" s="1"/>
  <c r="G120" i="27"/>
  <c r="I120" i="27" s="1"/>
  <c r="G121" i="27"/>
  <c r="I121" i="27" s="1"/>
  <c r="G122" i="27"/>
  <c r="I122" i="27" s="1"/>
  <c r="G123" i="27"/>
  <c r="I123" i="27" s="1"/>
  <c r="G124" i="27"/>
  <c r="I124" i="27" s="1"/>
  <c r="G125" i="27"/>
  <c r="I125" i="27" s="1"/>
  <c r="G126" i="27"/>
  <c r="I126" i="27" s="1"/>
  <c r="G127" i="27"/>
  <c r="I127" i="27" s="1"/>
  <c r="G128" i="27"/>
  <c r="I128" i="27" s="1"/>
  <c r="K43" i="24"/>
  <c r="J43" i="24"/>
  <c r="I43" i="24"/>
  <c r="H43" i="24"/>
  <c r="G43" i="24"/>
  <c r="F43" i="24"/>
  <c r="E43" i="24"/>
  <c r="D43" i="24"/>
  <c r="C43" i="24"/>
  <c r="K41" i="24"/>
  <c r="J41" i="24"/>
  <c r="I41" i="24"/>
  <c r="H41" i="24"/>
  <c r="G41" i="24"/>
  <c r="F41" i="24"/>
  <c r="E41" i="24"/>
  <c r="D41" i="24"/>
  <c r="C41" i="24"/>
  <c r="K40" i="24"/>
  <c r="J40" i="24"/>
  <c r="I40" i="24"/>
  <c r="H40" i="24"/>
  <c r="G40" i="24"/>
  <c r="F40" i="24"/>
  <c r="E40" i="24"/>
  <c r="D40" i="24"/>
  <c r="C40" i="24"/>
  <c r="K39" i="24"/>
  <c r="J39" i="24"/>
  <c r="I39" i="24"/>
  <c r="H39" i="24"/>
  <c r="G39" i="24"/>
  <c r="F39" i="24"/>
  <c r="E39" i="24"/>
  <c r="D39" i="24"/>
  <c r="C39" i="24"/>
  <c r="K38" i="24"/>
  <c r="J38" i="24"/>
  <c r="I38" i="24"/>
  <c r="H38" i="24"/>
  <c r="G38" i="24"/>
  <c r="F38" i="24"/>
  <c r="E38" i="24"/>
  <c r="D38" i="24"/>
  <c r="C38" i="24"/>
  <c r="K37" i="24"/>
  <c r="J37" i="24"/>
  <c r="I37" i="24"/>
  <c r="H37" i="24"/>
  <c r="G37" i="24"/>
  <c r="F37" i="24"/>
  <c r="E37" i="24"/>
  <c r="D37" i="24"/>
  <c r="C37" i="24"/>
  <c r="K36" i="24"/>
  <c r="J36" i="24"/>
  <c r="I36" i="24"/>
  <c r="H36" i="24"/>
  <c r="G36" i="24"/>
  <c r="F36" i="24"/>
  <c r="E36" i="24"/>
  <c r="D36" i="24"/>
  <c r="C36" i="24"/>
  <c r="K35" i="24"/>
  <c r="J35" i="24"/>
  <c r="I35" i="24"/>
  <c r="H35" i="24"/>
  <c r="G35" i="24"/>
  <c r="F35" i="24"/>
  <c r="E35" i="24"/>
  <c r="D35" i="24"/>
  <c r="C35" i="24"/>
  <c r="B41" i="24"/>
  <c r="B40" i="24"/>
  <c r="B39" i="24"/>
  <c r="B38" i="24"/>
  <c r="B37" i="24"/>
  <c r="B43" i="24"/>
  <c r="B36" i="24"/>
  <c r="B35" i="24"/>
  <c r="E42" i="24" l="1"/>
  <c r="D42" i="24"/>
  <c r="C42" i="24"/>
  <c r="K42" i="24"/>
  <c r="B42" i="24"/>
  <c r="F42" i="24"/>
  <c r="H42" i="24"/>
  <c r="G42" i="24"/>
  <c r="I42" i="24"/>
  <c r="J42" i="2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<sst xmlns="http://schemas.openxmlformats.org/spreadsheetml/2006/main" count="1525" uniqueCount="517">
  <si>
    <t>Cory/Kevin
Jimmy Jones Cutlets</t>
  </si>
  <si>
    <t>Jon
Dumpster Fire</t>
  </si>
  <si>
    <t>Ben
Prestige Worldwide</t>
  </si>
  <si>
    <t>Rick
Terry Glenn</t>
  </si>
  <si>
    <t>Nick
Huge Ditka</t>
  </si>
  <si>
    <t>Tom
White Pool Covers</t>
  </si>
  <si>
    <t>ROUND 1</t>
  </si>
  <si>
    <t>Jonathan Taylor</t>
  </si>
  <si>
    <t>CeeDee Lamb</t>
  </si>
  <si>
    <t>Terry McLaurin</t>
  </si>
  <si>
    <t>Christian McCaffrey</t>
  </si>
  <si>
    <t>ROUND 2</t>
  </si>
  <si>
    <t>Cooper Kupp</t>
  </si>
  <si>
    <t>Joe Mixon</t>
  </si>
  <si>
    <t>ROUND 3</t>
  </si>
  <si>
    <t>Derrick Henry</t>
  </si>
  <si>
    <t>ROUND 4</t>
  </si>
  <si>
    <t>Stefon Diggs</t>
  </si>
  <si>
    <t>ROUND 5</t>
  </si>
  <si>
    <t>Ja'Marr Chase</t>
  </si>
  <si>
    <t>Javonte Williams</t>
  </si>
  <si>
    <t>ROUND 6</t>
  </si>
  <si>
    <t>Deebo Samuel</t>
  </si>
  <si>
    <t>ROUND 7</t>
  </si>
  <si>
    <t>Austin Ekeler</t>
  </si>
  <si>
    <t>ROUND 8</t>
  </si>
  <si>
    <t>Michael Pittman Jr.</t>
  </si>
  <si>
    <t>ROUND 9</t>
  </si>
  <si>
    <t>Patrick Mahomes</t>
  </si>
  <si>
    <t>Justin Jefferson</t>
  </si>
  <si>
    <t>ROUND 10</t>
  </si>
  <si>
    <t>George Kittle</t>
  </si>
  <si>
    <t>ROUND 11</t>
  </si>
  <si>
    <t>ROUND 12</t>
  </si>
  <si>
    <t>ROUND 13</t>
  </si>
  <si>
    <t>Davante Adams</t>
  </si>
  <si>
    <t>Travis Kelce</t>
  </si>
  <si>
    <t>ROUND 14</t>
  </si>
  <si>
    <t>Lamar Jackson</t>
  </si>
  <si>
    <t>Alvin Kamara</t>
  </si>
  <si>
    <t>ROUND 15</t>
  </si>
  <si>
    <t>Joe Burrow</t>
  </si>
  <si>
    <t>Tyreek Hill</t>
  </si>
  <si>
    <t>Nick Chubb</t>
  </si>
  <si>
    <t>David Montgomery</t>
  </si>
  <si>
    <t>Josh Allen</t>
  </si>
  <si>
    <t>DK Metcalf</t>
  </si>
  <si>
    <t>Calvin Ridley</t>
  </si>
  <si>
    <t>Jakobi Meyers</t>
  </si>
  <si>
    <t>Jaylen Waddle</t>
  </si>
  <si>
    <t>Adam Thielen</t>
  </si>
  <si>
    <t>Tony Pollard</t>
  </si>
  <si>
    <t>Jalen Hurts</t>
  </si>
  <si>
    <t>Buffalo</t>
  </si>
  <si>
    <t>Tee Higgins</t>
  </si>
  <si>
    <t>Chuba Hubbard</t>
  </si>
  <si>
    <t>James Conner</t>
  </si>
  <si>
    <t>Rhamondre Stevenson</t>
  </si>
  <si>
    <t>Amon-Ra St. Brown</t>
  </si>
  <si>
    <t>Jerry Jeudy</t>
  </si>
  <si>
    <t>Tyler Bass</t>
  </si>
  <si>
    <t>Denver</t>
  </si>
  <si>
    <t>Breece Hall</t>
  </si>
  <si>
    <t>Kenneth Walker III</t>
  </si>
  <si>
    <t>D'Andre Swift</t>
  </si>
  <si>
    <t>George Pickens</t>
  </si>
  <si>
    <t>Mike Evans</t>
  </si>
  <si>
    <t>Josh Jacobs</t>
  </si>
  <si>
    <t>Drake London</t>
  </si>
  <si>
    <t>Kareem Hunt</t>
  </si>
  <si>
    <t>Brandon Aiyuk</t>
  </si>
  <si>
    <t>DJ Moore</t>
  </si>
  <si>
    <t>Chris Olave</t>
  </si>
  <si>
    <t>Garrett Wilson</t>
  </si>
  <si>
    <t>Amari Cooper</t>
  </si>
  <si>
    <t>Mark Andrews</t>
  </si>
  <si>
    <t>Eric
My Ball Zach Ertz</t>
  </si>
  <si>
    <t>Christian Watson</t>
  </si>
  <si>
    <t>Jameson Williams</t>
  </si>
  <si>
    <t>Philadelphia</t>
  </si>
  <si>
    <t>David Njoku</t>
  </si>
  <si>
    <t>Isiah Pacheco</t>
  </si>
  <si>
    <t>Rachaad White</t>
  </si>
  <si>
    <t>Jared Goff</t>
  </si>
  <si>
    <t>Trey McBride</t>
  </si>
  <si>
    <t>Dalton Kincaid</t>
  </si>
  <si>
    <t>Rashee Rice</t>
  </si>
  <si>
    <t>Jake Ferguson</t>
  </si>
  <si>
    <t>De'Von Achane</t>
  </si>
  <si>
    <t>Jaxon Smith-Njigba</t>
  </si>
  <si>
    <t>Zay Flowers</t>
  </si>
  <si>
    <t>Jordan Addison</t>
  </si>
  <si>
    <t>Zach Charbonnet</t>
  </si>
  <si>
    <t>Brandon Aubrey</t>
  </si>
  <si>
    <t>Puka Nacua</t>
  </si>
  <si>
    <t>Jahmyr Gibbs</t>
  </si>
  <si>
    <t>Bijan Robinson</t>
  </si>
  <si>
    <t>Kyren Williams</t>
  </si>
  <si>
    <t>Cameron Dicker</t>
  </si>
  <si>
    <t>Brock Purdy</t>
  </si>
  <si>
    <t>Pittsburg</t>
  </si>
  <si>
    <t>Josh Downs</t>
  </si>
  <si>
    <t>Jayden Reed</t>
  </si>
  <si>
    <t>Sam LaPorta</t>
  </si>
  <si>
    <t>Mike
Run CMC</t>
  </si>
  <si>
    <t>Jordan
JR</t>
  </si>
  <si>
    <t>Steve
Bed Bath &amp; Bijan</t>
  </si>
  <si>
    <t>Kansas City</t>
  </si>
  <si>
    <t>Malik Nabers</t>
  </si>
  <si>
    <t>Keenan Allen</t>
  </si>
  <si>
    <t>Brian Thomas Jr.</t>
  </si>
  <si>
    <t>Jaylen Warren</t>
  </si>
  <si>
    <t>Darnell Mooney</t>
  </si>
  <si>
    <t>Kyler Murray</t>
  </si>
  <si>
    <t>Ladd McConkey</t>
  </si>
  <si>
    <t>Keon Coleman</t>
  </si>
  <si>
    <t>Rome Odunze</t>
  </si>
  <si>
    <t>Xavier Worthy</t>
  </si>
  <si>
    <t>Courtland Sutton</t>
  </si>
  <si>
    <t>Jayden Daniels</t>
  </si>
  <si>
    <t>Chase Brown</t>
  </si>
  <si>
    <t>Khalil Shakir</t>
  </si>
  <si>
    <t>Quentin Johnston</t>
  </si>
  <si>
    <t>Wan'Dale Robinson</t>
  </si>
  <si>
    <t>Dallas Goedert</t>
  </si>
  <si>
    <t>T.J. Hockenson</t>
  </si>
  <si>
    <t>Rico Dowdle</t>
  </si>
  <si>
    <t>Blake Corum</t>
  </si>
  <si>
    <t>Brock Bowers</t>
  </si>
  <si>
    <t>Bo Nix</t>
  </si>
  <si>
    <t>Braelon Allen</t>
  </si>
  <si>
    <t>Bucky Irving</t>
  </si>
  <si>
    <t>Tucker Kraft</t>
  </si>
  <si>
    <t>Tyrone Tracy Jr.</t>
  </si>
  <si>
    <t>Hunter Henry</t>
  </si>
  <si>
    <t>Aaron Jones Sr.</t>
  </si>
  <si>
    <t>DeVonta Smith </t>
  </si>
  <si>
    <t>Jake Elliott</t>
  </si>
  <si>
    <t>Saquon Barkley</t>
  </si>
  <si>
    <t>Kyle Pitts Sr.</t>
  </si>
  <si>
    <t>Nico Collin</t>
  </si>
  <si>
    <t>A.J. Brown</t>
  </si>
  <si>
    <t>Drake Maye</t>
  </si>
  <si>
    <t>Jake Bates</t>
  </si>
  <si>
    <t>Jauan Jennings</t>
  </si>
  <si>
    <t>Chris Boswell</t>
  </si>
  <si>
    <t>Cedric Tillman</t>
  </si>
  <si>
    <t>J.K Dobbins</t>
  </si>
  <si>
    <t>Ashton Jeanty</t>
  </si>
  <si>
    <t>Omarion Hampton</t>
  </si>
  <si>
    <t>James Cook III</t>
  </si>
  <si>
    <t>Marvin Harrison</t>
  </si>
  <si>
    <t>TreVeyon Henderson</t>
  </si>
  <si>
    <t>Kevin Walker III</t>
  </si>
  <si>
    <t>RJ Harvey</t>
  </si>
  <si>
    <t>Tetairoa McMillan</t>
  </si>
  <si>
    <t>Emeka Egbuka</t>
  </si>
  <si>
    <t>Travis Hunter</t>
  </si>
  <si>
    <t>Kaleb Johnson</t>
  </si>
  <si>
    <t>T.J Hockenson</t>
  </si>
  <si>
    <t>Ricky Pearsall</t>
  </si>
  <si>
    <t>Evan Engram</t>
  </si>
  <si>
    <t>Matthew Golden</t>
  </si>
  <si>
    <t>Travis Etienne</t>
  </si>
  <si>
    <t>Tyler Warren</t>
  </si>
  <si>
    <t>Michael Pittman Jr</t>
  </si>
  <si>
    <t>Rashid Shaheed</t>
  </si>
  <si>
    <t>Jordan Mason</t>
  </si>
  <si>
    <t>Cam Skattebo</t>
  </si>
  <si>
    <t>Chris Godwin Jr</t>
  </si>
  <si>
    <t>Justin Herbert</t>
  </si>
  <si>
    <t>C.J Stroud</t>
  </si>
  <si>
    <t>Rashod Bateman</t>
  </si>
  <si>
    <t>Tank Bigsby</t>
  </si>
  <si>
    <t>Jacory Crosky-Merritt</t>
  </si>
  <si>
    <t>Bhayshul Tuten</t>
  </si>
  <si>
    <t>Harrison Butker</t>
  </si>
  <si>
    <t>Colston Loveland</t>
  </si>
  <si>
    <t>DeAndre Hopkins</t>
  </si>
  <si>
    <t>Baltimore</t>
  </si>
  <si>
    <t>Tre' Harris</t>
  </si>
  <si>
    <t>Joshua Palmer</t>
  </si>
  <si>
    <t>2025 Waiver Wire Adds - if kept they are a last round draft pick</t>
  </si>
  <si>
    <t>2025 End of Year Roster and Draft Order - Not a snake draft</t>
  </si>
  <si>
    <t>Jordan
Leeroy Judkins</t>
  </si>
  <si>
    <t>Steve
Allen’s Wayside Furniture</t>
  </si>
  <si>
    <t>Dak Prescott</t>
  </si>
  <si>
    <t>Chase McLaughlin</t>
  </si>
  <si>
    <t>Baker Mayfield</t>
  </si>
  <si>
    <t>Quinshon Judkins</t>
  </si>
  <si>
    <t>2025 Roster Results</t>
  </si>
  <si>
    <t>Brian Robinson Jr</t>
  </si>
  <si>
    <t>Detroit</t>
  </si>
  <si>
    <t>Marvin Mims Jr.</t>
  </si>
  <si>
    <t>Ka'Imi Fairbairn</t>
  </si>
  <si>
    <t>Marvin Harrison Jr.</t>
  </si>
  <si>
    <t>DeVonta Smith</t>
  </si>
  <si>
    <t>Travis Etienne Jr.</t>
  </si>
  <si>
    <t>Chris Godwin Jr.</t>
  </si>
  <si>
    <t>Nico Collins</t>
  </si>
  <si>
    <t>Trevor Lawrence</t>
  </si>
  <si>
    <t>Zach Ertz</t>
  </si>
  <si>
    <t>Caleb Williams</t>
  </si>
  <si>
    <t>Jacoby Brissett</t>
  </si>
  <si>
    <t>Jayden Higgins</t>
  </si>
  <si>
    <t>Kenny Gainwell</t>
  </si>
  <si>
    <t>Matthew Stafford</t>
  </si>
  <si>
    <t>Kyle Monangai</t>
  </si>
  <si>
    <t>Michael Wilson</t>
  </si>
  <si>
    <t>Brenton Strange</t>
  </si>
  <si>
    <t>Saints</t>
  </si>
  <si>
    <t>Andy Borregales</t>
  </si>
  <si>
    <t>Darius Slayton</t>
  </si>
  <si>
    <t>Harold Fannin Jr.</t>
  </si>
  <si>
    <t>Juwan Johnson</t>
  </si>
  <si>
    <t>Devin Neal</t>
  </si>
  <si>
    <t>Kimani Vidal</t>
  </si>
  <si>
    <t>Seahawks</t>
  </si>
  <si>
    <t>Lions</t>
  </si>
  <si>
    <t>Alec Pierce</t>
  </si>
  <si>
    <t>Jaxson Dart</t>
  </si>
  <si>
    <t>Troy Franklin</t>
  </si>
  <si>
    <t>Woody Marks</t>
  </si>
  <si>
    <t>Chargers</t>
  </si>
  <si>
    <t>Steelers</t>
  </si>
  <si>
    <t>Isaac TeSlaa</t>
  </si>
  <si>
    <t>Michael Carter</t>
  </si>
  <si>
    <t>Cowboys</t>
  </si>
  <si>
    <t>Patriots</t>
  </si>
  <si>
    <t>Jaguars</t>
  </si>
  <si>
    <t>Broncos</t>
  </si>
  <si>
    <t>Tyler Loop</t>
  </si>
  <si>
    <t>Texans</t>
  </si>
  <si>
    <t>James Conner (RB - Ari)</t>
  </si>
  <si>
    <t>Tee Higgins (WR - Cin)</t>
  </si>
  <si>
    <t>Zay Flowers (WR - Bal)</t>
  </si>
  <si>
    <t>D'Andre Swift (RB - Chi)</t>
  </si>
  <si>
    <t>Stefon Diggs (WR - NE)</t>
  </si>
  <si>
    <t>Deebo Samuel (WR - Was)</t>
  </si>
  <si>
    <t>Dallas Goedert (TE - Phi)</t>
  </si>
  <si>
    <t>T.J. Hockenson (TE - Min)</t>
  </si>
  <si>
    <t>Mark Andrews (TE - Bal)</t>
  </si>
  <si>
    <t>Michael Pittman Jr. (WR - Pit)</t>
  </si>
  <si>
    <t>Rashid Shaheed (WR - Sea)</t>
  </si>
  <si>
    <t>Jordan Mason (RB - Min)</t>
  </si>
  <si>
    <t>Jordan Addison (WR - Min)</t>
  </si>
  <si>
    <t>Jauan Jennings (WR - Min)</t>
  </si>
  <si>
    <t>Braelon Allen (RB - NYJ)</t>
  </si>
  <si>
    <t>Javonte Williams (RB - Dal)</t>
  </si>
  <si>
    <t>Brandon Aubrey (K - Dal)</t>
  </si>
  <si>
    <t>Harrison Butker (K - KC)</t>
  </si>
  <si>
    <t>Cameron Dicker (K - LAC)</t>
  </si>
  <si>
    <t>Jake Bates (K - Det)</t>
  </si>
  <si>
    <t>Chase McLaughlin (K - TB)</t>
  </si>
  <si>
    <t>Chris Boswell (K - Pit)</t>
  </si>
  <si>
    <t>Wan'Dale Robinson (WR - Ten)</t>
  </si>
  <si>
    <t>Trevor Lawrence (QB - Jax)</t>
  </si>
  <si>
    <t>Zach Ertz (TE - Was)</t>
  </si>
  <si>
    <t>Dalton Kincaid (TE - Buf)</t>
  </si>
  <si>
    <t>RJ Harvey (RB - Den)</t>
  </si>
  <si>
    <t>Jared Goff (QB - Det)</t>
  </si>
  <si>
    <t>Kareem Hunt (RB - KC)</t>
  </si>
  <si>
    <t>Dak Prescott (QB - Dal)</t>
  </si>
  <si>
    <t>Kyle Monangai (RB - Chi)</t>
  </si>
  <si>
    <t>Saints (DEF - NO)</t>
  </si>
  <si>
    <t>Andy Borregales (K - NE)</t>
  </si>
  <si>
    <t>Jake Elliott (K - Phi)</t>
  </si>
  <si>
    <t>Darius Slayton (WR - NYG)</t>
  </si>
  <si>
    <t>Harold Fannin Jr. (TE - Cle)</t>
  </si>
  <si>
    <t>Devin Neal (RB - NO)</t>
  </si>
  <si>
    <t>Kimani Vidal (RB - LAC)</t>
  </si>
  <si>
    <t>Seahawks (DEF - Sea)</t>
  </si>
  <si>
    <t>Lions (DEF - Det)</t>
  </si>
  <si>
    <t>Blake Corum (RB - LAR)</t>
  </si>
  <si>
    <t>Tyrone Tracy Jr. (RB - NYG)</t>
  </si>
  <si>
    <t>Chargers (DEF - LAC)</t>
  </si>
  <si>
    <t>Steelers (DEF - Pit)</t>
  </si>
  <si>
    <t>Isaac TeSlaa (WR - Det)</t>
  </si>
  <si>
    <t>Michael Carter (RB - Ten)</t>
  </si>
  <si>
    <t>Keenan Allen (WR - LAC)</t>
  </si>
  <si>
    <t>Cowboys (DEF - Dal)</t>
  </si>
  <si>
    <t>DK Metcalf (WR - Pit)</t>
  </si>
  <si>
    <t>Darnell Mooney (WR - NYG)</t>
  </si>
  <si>
    <t>Patriots (DEF - NE)</t>
  </si>
  <si>
    <t>Jaguars (DEF - Jax)</t>
  </si>
  <si>
    <t>Broncos (DEF - Den)</t>
  </si>
  <si>
    <t>Tyler Loop (K - Bal)</t>
  </si>
  <si>
    <t>Texans (DEF - Hou)</t>
  </si>
  <si>
    <t>Ashton Jeanty (RB - LV)</t>
  </si>
  <si>
    <t>Ladd McConkey (WR - LAC)</t>
  </si>
  <si>
    <t>Omarion Hampton (RB - LAC)</t>
  </si>
  <si>
    <t>James Cook III (RB - Buf)</t>
  </si>
  <si>
    <t>Marvin Harrison Jr. (WR - Ari)</t>
  </si>
  <si>
    <t>Josh Allen (QB - Buf)</t>
  </si>
  <si>
    <t>Jaxon Smith-Njigba (WR - Sea)</t>
  </si>
  <si>
    <t>Terry McLaurin (WR - Was)</t>
  </si>
  <si>
    <t>DJ Moore (WR - Buf)</t>
  </si>
  <si>
    <t>TreVeyon Henderson (RB - NE)</t>
  </si>
  <si>
    <t>Davante Adams (WR - LAR)</t>
  </si>
  <si>
    <t>Kenneth Walker III (RB - KC)</t>
  </si>
  <si>
    <t>Alvin Kamara (RB - NO)</t>
  </si>
  <si>
    <t>Chuba Hubbard (RB - Car)</t>
  </si>
  <si>
    <t>George Pickens (WR - Dal)</t>
  </si>
  <si>
    <t>Jaylen Warren (RB - Pit)</t>
  </si>
  <si>
    <t>Jaylen Waddle (WR - Den)</t>
  </si>
  <si>
    <t>Xavier Worthy (WR - KC)</t>
  </si>
  <si>
    <t>Tony Pollard (RB - Ten)</t>
  </si>
  <si>
    <t>Tetairoa McMillan (WR - Car)</t>
  </si>
  <si>
    <t>Emeka Egbuka (WR - TB)</t>
  </si>
  <si>
    <t>Courtland Sutton (WR - Den)</t>
  </si>
  <si>
    <t>Travis Hunter (WR - Jax)</t>
  </si>
  <si>
    <t>Patrick Mahomes (QB - KC)</t>
  </si>
  <si>
    <t>Joe Burrow (QB - Cin)</t>
  </si>
  <si>
    <t>Rome Odunze (WR - Chi)</t>
  </si>
  <si>
    <t>Chris Olave (WR - NO)</t>
  </si>
  <si>
    <t>Ricky Pearsall (WR - SF)</t>
  </si>
  <si>
    <t>Jakobi Meyers (WR - Jax)</t>
  </si>
  <si>
    <t>Travis Etienne Jr. (RB - NO)</t>
  </si>
  <si>
    <t>Tyler Warren (TE - Ind)</t>
  </si>
  <si>
    <t>Jerry Jeudy (WR - Cle)</t>
  </si>
  <si>
    <t>Bo Nix (QB - Den)</t>
  </si>
  <si>
    <t>Cam Skattebo (RB - NYG)</t>
  </si>
  <si>
    <t>Chris Godwin Jr. (WR - TB)</t>
  </si>
  <si>
    <t>Rashee Rice (WR - KC)</t>
  </si>
  <si>
    <t>Tucker Kraft (TE - GB)</t>
  </si>
  <si>
    <t>Justin Herbert (QB - LAC)</t>
  </si>
  <si>
    <t>Zach Charbonnet (RB - Sea)</t>
  </si>
  <si>
    <t>Khalil Shakir (WR - Buf)</t>
  </si>
  <si>
    <t>Jayden Reed (WR - GB)</t>
  </si>
  <si>
    <t>Rhamondre Stevenson (RB - NE)</t>
  </si>
  <si>
    <t>Quinshon Judkins (RB - Cle)</t>
  </si>
  <si>
    <t>Caleb Williams (QB - Chi)</t>
  </si>
  <si>
    <t>Jake Ferguson (TE - Dal)</t>
  </si>
  <si>
    <t>Brock Purdy (QB - SF)</t>
  </si>
  <si>
    <t>Jacoby Brissett (QB - Ari)</t>
  </si>
  <si>
    <t>Jayden Higgins (WR - Hou)</t>
  </si>
  <si>
    <t>Mike Evans (WR - SF)</t>
  </si>
  <si>
    <t>Christian Watson (WR - GB)</t>
  </si>
  <si>
    <t>Kenny Gainwell (RB - TB)</t>
  </si>
  <si>
    <t>Matthew Stafford (QB - LAR)</t>
  </si>
  <si>
    <t>Michael Wilson (WR - Ari)</t>
  </si>
  <si>
    <t>Brenton Strange (TE - Jax)</t>
  </si>
  <si>
    <t>Kyle Pitts Sr. (TE - Atl)</t>
  </si>
  <si>
    <t>Rico Dowdle (RB - Pit)</t>
  </si>
  <si>
    <t>Hunter Henry (TE - NE)</t>
  </si>
  <si>
    <t>Juwan Johnson (TE - NO)</t>
  </si>
  <si>
    <t>Baker Mayfield (QB - TB)</t>
  </si>
  <si>
    <t>Drake Maye (QB - NE)</t>
  </si>
  <si>
    <t>Alec Pierce (WR - Ind)</t>
  </si>
  <si>
    <t>Jaxson Dart (QB - NYG)</t>
  </si>
  <si>
    <t>Rachaad White (RB - Was)</t>
  </si>
  <si>
    <t>Troy Franklin (WR - Den)</t>
  </si>
  <si>
    <t>Woody Marks (RB - Hou)</t>
  </si>
  <si>
    <t>Quentin Johnston (WR - LAC)</t>
  </si>
  <si>
    <t>Jayden Daniels (QB - Was)</t>
  </si>
  <si>
    <t>Colston Loveland (TE - Chi)</t>
  </si>
  <si>
    <t>Bhayshul Tuten (RB - Jax)</t>
  </si>
  <si>
    <t>Keon Coleman (WR - Buf)</t>
  </si>
  <si>
    <t>CeeDee Lamb (WR - Dal) ★</t>
  </si>
  <si>
    <t>Bijan Robinson (RB - Atl) ★</t>
  </si>
  <si>
    <t>Jahmyr Gibbs (RB - Det) ★</t>
  </si>
  <si>
    <t>Christian McCaffrey (RB - SF) ★</t>
  </si>
  <si>
    <t>Saquon Barkley (RB - Phi) ★</t>
  </si>
  <si>
    <t>Malik Nabers (WR - NYG) ★</t>
  </si>
  <si>
    <t>Drake London (WR - Atl) ★</t>
  </si>
  <si>
    <t>Breece Hall (RB - NYJ) ★</t>
  </si>
  <si>
    <t>Jonathan Taylor (RB - Ind) ★</t>
  </si>
  <si>
    <t>Derrick Henry (RB - Bal) ★</t>
  </si>
  <si>
    <t>George Kittle (TE - SF) ★</t>
  </si>
  <si>
    <t>Ja'Marr Chase (WR - Cin) ★</t>
  </si>
  <si>
    <t>Brock Bowers (TE - LV) ★</t>
  </si>
  <si>
    <t>Josh Jacobs (RB - GB) ★</t>
  </si>
  <si>
    <t>DeVonta Smith (WR - Phi) ★</t>
  </si>
  <si>
    <t>Brian Thomas Jr. (WR - Jax) ★</t>
  </si>
  <si>
    <t>Jalen Hurts (QB - Phi) ★</t>
  </si>
  <si>
    <t>Justin Jefferson (WR - Min) ★</t>
  </si>
  <si>
    <t>Nico Collins (WR - Hou) ★</t>
  </si>
  <si>
    <t>De'Von Achane (RB - Mia) ★</t>
  </si>
  <si>
    <t>Travis Kelce (TE - KC) ★</t>
  </si>
  <si>
    <t>David Montgomery (RB - Hou) ★</t>
  </si>
  <si>
    <t>Kyren Williams (RB - LAR) ★</t>
  </si>
  <si>
    <t>Lamar Jackson (QB - Bal) ★</t>
  </si>
  <si>
    <t>Trey McBride (TE - Ari) ★</t>
  </si>
  <si>
    <t>A.J. Brown (WR - NE) ★</t>
  </si>
  <si>
    <t>Garrett Wilson (WR - NYJ) ★</t>
  </si>
  <si>
    <t>Sam LaPorta (TE - Det) ★</t>
  </si>
  <si>
    <t>Puka Nacua (WR - LAR) ★</t>
  </si>
  <si>
    <t>Chase Brown (RB - Cin) ★</t>
  </si>
  <si>
    <t>Tyreek Hill (WR - Mia) ★</t>
  </si>
  <si>
    <t>Bucky Irving (RB - TB) ★</t>
  </si>
  <si>
    <t>ROSTER COMPOSITION (draft picks + waiver adds)</t>
  </si>
  <si>
    <t>Position</t>
  </si>
  <si>
    <t>QB</t>
  </si>
  <si>
    <t>RB</t>
  </si>
  <si>
    <t>WR</t>
  </si>
  <si>
    <t>TE</t>
  </si>
  <si>
    <t>K</t>
  </si>
  <si>
    <t>DEF</t>
  </si>
  <si>
    <t>Total players</t>
  </si>
  <si>
    <t>LEGEND</t>
  </si>
  <si>
    <t>Blank round = that draft pick was dropped or traded away during the season</t>
  </si>
  <si>
    <t>Position colors:</t>
  </si>
  <si>
    <t>Player name (POS - NFL team) — position and NFL team reflect the year-end roster snapshot</t>
  </si>
  <si>
    <t>ADDS</t>
  </si>
  <si>
    <t>SPOTLIGHT →</t>
  </si>
  <si>
    <t>All</t>
  </si>
  <si>
    <t>← pick a position; non-matching players gray out</t>
  </si>
  <si>
    <t>2025 Team (owner)</t>
  </si>
  <si>
    <t>2025 Slot</t>
  </si>
  <si>
    <t>Player</t>
  </si>
  <si>
    <t>Pos</t>
  </si>
  <si>
    <t>2026 ADP (half PPR)</t>
  </si>
  <si>
    <t>ADP Round</t>
  </si>
  <si>
    <t>Keeper Cost (Rd)</t>
  </si>
  <si>
    <t>Value (Rd)</t>
  </si>
  <si>
    <t>Allen’s Wayside Furniture (Steve)</t>
  </si>
  <si>
    <t>Round 1</t>
  </si>
  <si>
    <t>ATL</t>
  </si>
  <si>
    <t>★</t>
  </si>
  <si>
    <t>Round 5</t>
  </si>
  <si>
    <t>BAL</t>
  </si>
  <si>
    <t>Round 2</t>
  </si>
  <si>
    <t>BUF</t>
  </si>
  <si>
    <t>Round 14</t>
  </si>
  <si>
    <t>LAR</t>
  </si>
  <si>
    <t>Round 3</t>
  </si>
  <si>
    <t>Round 15</t>
  </si>
  <si>
    <t>DAL</t>
  </si>
  <si>
    <t>DET</t>
  </si>
  <si>
    <t>Round 13</t>
  </si>
  <si>
    <t>HOU</t>
  </si>
  <si>
    <t>Round 8</t>
  </si>
  <si>
    <t>PIT</t>
  </si>
  <si>
    <t>Round 9</t>
  </si>
  <si>
    <t>GB</t>
  </si>
  <si>
    <t>Waiver add</t>
  </si>
  <si>
    <t>SEA</t>
  </si>
  <si>
    <t>Round 4</t>
  </si>
  <si>
    <t>KC</t>
  </si>
  <si>
    <t>Round 7</t>
  </si>
  <si>
    <t>Round 12</t>
  </si>
  <si>
    <t>NO</t>
  </si>
  <si>
    <t>Dumpster Fire (Jon)</t>
  </si>
  <si>
    <t>PHI</t>
  </si>
  <si>
    <t>CHI</t>
  </si>
  <si>
    <t>TEN</t>
  </si>
  <si>
    <t>LAC</t>
  </si>
  <si>
    <t>TB</t>
  </si>
  <si>
    <t>Round 6</t>
  </si>
  <si>
    <t>NE</t>
  </si>
  <si>
    <t>Huge Ditka (Nick)</t>
  </si>
  <si>
    <t>NYG</t>
  </si>
  <si>
    <t>SF</t>
  </si>
  <si>
    <t>JAX</t>
  </si>
  <si>
    <t>MIN</t>
  </si>
  <si>
    <t>Round 11</t>
  </si>
  <si>
    <t>DEN</t>
  </si>
  <si>
    <t>Jimmy Jones Cutlets (Cory/Kevin)</t>
  </si>
  <si>
    <t>NYJ</t>
  </si>
  <si>
    <t>Round 10</t>
  </si>
  <si>
    <t>Leeroy Judkins (Jordan)</t>
  </si>
  <si>
    <t>CIN</t>
  </si>
  <si>
    <t>ARI</t>
  </si>
  <si>
    <t>CLE</t>
  </si>
  <si>
    <t>WAS</t>
  </si>
  <si>
    <t>My Ball Zach Ertz (Eric)</t>
  </si>
  <si>
    <t>Prestige Worldwide (Ben)</t>
  </si>
  <si>
    <t>IND</t>
  </si>
  <si>
    <t>CAR</t>
  </si>
  <si>
    <t>Run CMC (Mike)</t>
  </si>
  <si>
    <t>MIA</t>
  </si>
  <si>
    <t>LV</t>
  </si>
  <si>
    <t>Terry Glenn (Rick)</t>
  </si>
  <si>
    <t>White Pool Covers (Tom)</t>
  </si>
  <si>
    <t>Source: Fantasy Football Calculator — 2026 10-team Half-PPR ADP, 1,137 mock drafts July 20–25, 2026. https://fantasyfootballcalculator.com/adp/half-ppr/10-team/all (unofficial fantasy source; static snapshot pulled 7/26/2026 — does not auto-update)</t>
  </si>
  <si>
    <t>Amon-Ra St. Brown (WR - Det) ★</t>
  </si>
  <si>
    <t>Jameson Williams (WR - Det) ★</t>
  </si>
  <si>
    <t>NFL Team (roster dump)</t>
  </si>
  <si>
    <t>Status (roster dump)</t>
  </si>
  <si>
    <t>NA</t>
  </si>
  <si>
    <t>PUP-P</t>
  </si>
  <si>
    <t>ADP Round assumes 10 teams: ROUNDUP(ADP/10). Value = Keeper Cost round minus ADP round — positive means you'd keep him cheaper than the market drafts him. Blank ADP = outside the top ~200 in 10-team half-PPR mocks (free agent, retired or undrafted).</t>
  </si>
  <si>
    <t>ADP fallback check</t>
  </si>
  <si>
    <t>Undrafted in mocks</t>
  </si>
  <si>
    <t>12-tm full-PPR ADP 171.2</t>
  </si>
  <si>
    <t>12-tm full-PPR ADP 180.3</t>
  </si>
  <si>
    <t>ADP fallback check: the 12-team half-PPR board (199 players) is shorter than the 10-team board (201) and contained none of the unranked 16. Only the 12-team FULL-PPR board (226 deep) had any — Braelon Allen and Darius Slayton. Those two figures are full-PPR and 12-team, so they are NOT used in the ADP Round or Value math; they are shown for reference only. The other 14 are undrafted across every board checked.</t>
  </si>
  <si>
    <t>2026 KEEPER OUTLOOK — 10-Team Half PPR</t>
  </si>
  <si>
    <t>NOTES &amp; SOURCES</t>
  </si>
  <si>
    <t>2025 Keepers</t>
  </si>
  <si>
    <t>ALLEN’S WAYSIDE FURNITURE   —   Steve</t>
  </si>
  <si>
    <t>TEAM SUMMARY</t>
  </si>
  <si>
    <t>Players</t>
  </si>
  <si>
    <t>Avg ADP</t>
  </si>
  <si>
    <t>Best value (Rd)</t>
  </si>
  <si>
    <t>Best value player</t>
  </si>
  <si>
    <t>Players with no ADP</t>
  </si>
  <si>
    <t>Status flags</t>
  </si>
  <si>
    <t>HUGE DITKA   —   Nick</t>
  </si>
  <si>
    <t>JIMMY JONES CUTLETS   —   Cory/Kevin</t>
  </si>
  <si>
    <t>LEEROY JUDKINS   —   Jordan</t>
  </si>
  <si>
    <t>MY BALL ZACH ERTZ   —   Eric</t>
  </si>
  <si>
    <t>PRESTIGE WORLDWIDE   —   Ben</t>
  </si>
  <si>
    <t>RUN CMC   —   Mike</t>
  </si>
  <si>
    <t>TERRY GLENN   —   Rick</t>
  </si>
  <si>
    <t>WHITE POOL COVERS   —   Tom</t>
  </si>
  <si>
    <t>★ 2025 keepers kept</t>
  </si>
  <si>
    <t>Green fill + ★ = 2025 keeper still on the drafting team's roster</t>
  </si>
  <si>
    <t>Value = the round you'd pay to keep a player minus the round the market drafts him. Positive (green) = bargain · Negative (red) = overpay · ★ = 2025 keeper retained</t>
  </si>
  <si>
    <t>A blank 2026 ADP = the player is not ranked in the top ~200 of the 10-team half-PPR board (free agent, retired, or drafted below the cutoff). Their NFL team is still shown.</t>
  </si>
  <si>
    <t>Kept in 2025 (★)</t>
  </si>
  <si>
    <t>★ Kept in 2025</t>
  </si>
  <si>
    <t>Team key (do not edit)</t>
  </si>
  <si>
    <t>POSITION COUNTS</t>
  </si>
  <si>
    <t>TOTAL</t>
  </si>
  <si>
    <t>DUMPSTER FIRE   —   Joe</t>
  </si>
  <si>
    <t>The NFL Team column came from the Yahoo year-end roster dump (source tab since deleted from this workbook), which reflects present-day 2026 rosters (e.g. Kenneth Walker on KC, Jaylen Waddle on DEN) rather than end-of-2025 teams. It was cross-checked against the ADP board's own team field for all 143 ranked players: 143 matched, 0 mismatches — so the duplicate team column and the agreement check were removed. Status flags (NA / PUP-P) come from that same dump.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</si>
</sst>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0;&quot;–&quot;"/>
    <numFmt numFmtId="165" formatCode="0.0"/>
    <numFmt numFmtId="166" formatCode="\+0;\-0;0"/>
  </numFmts>
  <fonts count="2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B5394"/>
      <name val="Calibri"/>
      <family val="2"/>
      <scheme val="minor"/>
    </font>
    <font>
      <sz val="11"/>
      <color rgb="FFB30000"/>
      <name val="Calibri"/>
      <family val="2"/>
      <scheme val="minor"/>
    </font>
    <font>
      <b/>
      <sz val="11"/>
      <color rgb="FFB30000"/>
      <name val="Calibri"/>
      <family val="2"/>
      <scheme val="minor"/>
    </font>
    <font>
      <sz val="11"/>
      <color rgb="FF0B5394"/>
      <name val="Calibri"/>
      <family val="2"/>
      <scheme val="minor"/>
    </font>
    <font>
      <b/>
      <sz val="11"/>
      <color rgb="FF7F6000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2E5218"/>
      <name val="Calibri"/>
      <family val="2"/>
      <scheme val="minor"/>
    </font>
    <font>
      <b/>
      <sz val="11"/>
      <color rgb="FF595959"/>
      <name val="Calibri"/>
      <family val="2"/>
      <scheme val="minor"/>
    </font>
    <font>
      <b/>
      <sz val="11"/>
      <color rgb="FF2E5218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8"/>
      <color rgb="FFA6A6A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C0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/>
      <right/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thin">
        <color rgb="FFB4C6E7"/>
      </right>
      <top style="medium">
        <color rgb="FF1F4E79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F4E79"/>
      </top>
      <bottom style="thin">
        <color rgb="FFB4C6E7"/>
      </bottom>
      <diagonal/>
    </border>
    <border>
      <left style="thin">
        <color rgb="FFB4C6E7"/>
      </left>
      <right style="medium">
        <color rgb="FF1F4E79"/>
      </right>
      <top style="medium">
        <color rgb="FF1F4E79"/>
      </top>
      <bottom style="thin">
        <color rgb="FFB4C6E7"/>
      </bottom>
      <diagonal/>
    </border>
    <border>
      <left style="medium">
        <color rgb="FF1F4E79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1F4E79"/>
      </right>
      <top style="thin">
        <color rgb="FFB4C6E7"/>
      </top>
      <bottom style="thin">
        <color rgb="FFB4C6E7"/>
      </bottom>
      <diagonal/>
    </border>
    <border>
      <left style="medium">
        <color rgb="FF1F4E79"/>
      </left>
      <right style="thin">
        <color rgb="FFB4C6E7"/>
      </right>
      <top style="thin">
        <color rgb="FFB4C6E7"/>
      </top>
      <bottom style="medium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1F4E79"/>
      </bottom>
      <diagonal/>
    </border>
    <border>
      <left style="thin">
        <color rgb="FFB4C6E7"/>
      </left>
      <right style="medium">
        <color rgb="FF1F4E79"/>
      </right>
      <top style="thin">
        <color rgb="FFB4C6E7"/>
      </top>
      <bottom style="medium">
        <color rgb="FF1F4E79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/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theme="0" tint="-0.14999847407452621"/>
      </bottom>
      <diagonal/>
    </border>
    <border>
      <left/>
      <right style="thin">
        <color indexed="64"/>
      </right>
      <top style="medium">
        <color rgb="FF000000"/>
      </top>
      <bottom style="thin">
        <color theme="0" tint="-0.14999847407452621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theme="0" tint="-0.14999847407452621"/>
      </bottom>
      <diagonal/>
    </border>
    <border>
      <left style="medium">
        <color rgb="FF1F4E79"/>
      </left>
      <right style="thin">
        <color rgb="FFBDD7EE"/>
      </right>
      <top style="medium">
        <color rgb="FF1F4E79"/>
      </top>
      <bottom style="thin">
        <color rgb="FFDCE6F1"/>
      </bottom>
      <diagonal/>
    </border>
    <border>
      <left style="thin">
        <color rgb="FFBDD7EE"/>
      </left>
      <right style="thin">
        <color rgb="FFBDD7EE"/>
      </right>
      <top style="medium">
        <color rgb="FF1F4E79"/>
      </top>
      <bottom style="thin">
        <color rgb="FFDCE6F1"/>
      </bottom>
      <diagonal/>
    </border>
    <border>
      <left style="thin">
        <color rgb="FFBDD7EE"/>
      </left>
      <right style="medium">
        <color rgb="FF1F4E79"/>
      </right>
      <top style="medium">
        <color rgb="FF1F4E79"/>
      </top>
      <bottom style="thin">
        <color rgb="FFDCE6F1"/>
      </bottom>
      <diagonal/>
    </border>
    <border>
      <left style="medium">
        <color rgb="FF1F4E79"/>
      </left>
      <right style="thin">
        <color rgb="FFBDD7EE"/>
      </right>
      <top style="thin">
        <color rgb="FFDCE6F1"/>
      </top>
      <bottom style="thin">
        <color rgb="FFDCE6F1"/>
      </bottom>
      <diagonal/>
    </border>
    <border>
      <left style="thin">
        <color rgb="FFBDD7EE"/>
      </left>
      <right style="thin">
        <color rgb="FFBDD7EE"/>
      </right>
      <top style="thin">
        <color rgb="FFDCE6F1"/>
      </top>
      <bottom style="thin">
        <color rgb="FFDCE6F1"/>
      </bottom>
      <diagonal/>
    </border>
    <border>
      <left style="thin">
        <color rgb="FFBDD7EE"/>
      </left>
      <right style="medium">
        <color rgb="FF1F4E79"/>
      </right>
      <top style="thin">
        <color rgb="FFDCE6F1"/>
      </top>
      <bottom style="thin">
        <color rgb="FFDCE6F1"/>
      </bottom>
      <diagonal/>
    </border>
    <border>
      <left style="medium">
        <color rgb="FF1F4E79"/>
      </left>
      <right style="thin">
        <color rgb="FFBDD7EE"/>
      </right>
      <top style="thin">
        <color rgb="FFDCE6F1"/>
      </top>
      <bottom style="medium">
        <color rgb="FF1F4E79"/>
      </bottom>
      <diagonal/>
    </border>
    <border>
      <left style="thin">
        <color rgb="FFBDD7EE"/>
      </left>
      <right style="thin">
        <color rgb="FFBDD7EE"/>
      </right>
      <top style="thin">
        <color rgb="FFDCE6F1"/>
      </top>
      <bottom style="medium">
        <color rgb="FF1F4E79"/>
      </bottom>
      <diagonal/>
    </border>
    <border>
      <left style="thin">
        <color rgb="FFBDD7EE"/>
      </left>
      <right style="medium">
        <color rgb="FF1F4E79"/>
      </right>
      <top style="thin">
        <color rgb="FFDCE6F1"/>
      </top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 style="thin">
        <color rgb="FFDCE6F1"/>
      </bottom>
      <diagonal/>
    </border>
    <border>
      <left/>
      <right style="medium">
        <color rgb="FF1F4E79"/>
      </right>
      <top style="medium">
        <color rgb="FF1F4E79"/>
      </top>
      <bottom style="thin">
        <color rgb="FFDCE6F1"/>
      </bottom>
      <diagonal/>
    </border>
    <border>
      <left style="medium">
        <color rgb="FF1F4E79"/>
      </left>
      <right/>
      <top style="thin">
        <color rgb="FFDCE6F1"/>
      </top>
      <bottom style="thin">
        <color rgb="FFDCE6F1"/>
      </bottom>
      <diagonal/>
    </border>
    <border>
      <left/>
      <right style="medium">
        <color rgb="FF1F4E79"/>
      </right>
      <top style="thin">
        <color rgb="FFDCE6F1"/>
      </top>
      <bottom style="thin">
        <color rgb="FFDCE6F1"/>
      </bottom>
      <diagonal/>
    </border>
    <border>
      <left style="medium">
        <color rgb="FF1F4E79"/>
      </left>
      <right/>
      <top style="thin">
        <color rgb="FFDCE6F1"/>
      </top>
      <bottom style="medium">
        <color rgb="FF1F4E79"/>
      </bottom>
      <diagonal/>
    </border>
    <border>
      <left/>
      <right style="medium">
        <color rgb="FF1F4E79"/>
      </right>
      <top style="thin">
        <color rgb="FFDCE6F1"/>
      </top>
      <bottom style="medium">
        <color rgb="FF1F4E79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5" xfId="0" applyFill="1" applyBorder="1"/>
    <xf numFmtId="0" fontId="0" fillId="4" borderId="4" xfId="0" applyFill="1" applyBorder="1" applyAlignment="1">
      <alignment horizontal="left" vertical="center"/>
    </xf>
    <xf numFmtId="0" fontId="0" fillId="4" borderId="5" xfId="0" applyFill="1" applyBorder="1"/>
    <xf numFmtId="0" fontId="0" fillId="4" borderId="4" xfId="0" applyFill="1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2" fillId="8" borderId="26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8" fillId="10" borderId="47" xfId="0" applyFont="1" applyFill="1" applyBorder="1" applyAlignment="1">
      <alignment horizontal="center" vertical="center"/>
    </xf>
    <xf numFmtId="0" fontId="5" fillId="6" borderId="47" xfId="0" applyFont="1" applyFill="1" applyBorder="1" applyAlignment="1">
      <alignment horizontal="left"/>
    </xf>
    <xf numFmtId="0" fontId="2" fillId="12" borderId="47" xfId="0" applyFont="1" applyFill="1" applyBorder="1" applyAlignment="1">
      <alignment horizontal="left"/>
    </xf>
    <xf numFmtId="0" fontId="5" fillId="6" borderId="0" xfId="0" applyFont="1" applyFill="1" applyAlignment="1">
      <alignment horizontal="center"/>
    </xf>
    <xf numFmtId="0" fontId="0" fillId="6" borderId="0" xfId="0" applyFill="1"/>
    <xf numFmtId="0" fontId="2" fillId="6" borderId="39" xfId="0" applyFont="1" applyFill="1" applyBorder="1"/>
    <xf numFmtId="0" fontId="0" fillId="6" borderId="42" xfId="0" applyFill="1" applyBorder="1"/>
    <xf numFmtId="0" fontId="2" fillId="4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4" fillId="14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14" borderId="28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14" borderId="29" xfId="0" applyFont="1" applyFill="1" applyBorder="1" applyAlignment="1">
      <alignment horizontal="center" vertical="center"/>
    </xf>
    <xf numFmtId="0" fontId="4" fillId="14" borderId="23" xfId="0" applyFont="1" applyFill="1" applyBorder="1" applyAlignment="1">
      <alignment horizontal="center" vertical="center"/>
    </xf>
    <xf numFmtId="0" fontId="4" fillId="14" borderId="30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8" fillId="10" borderId="48" xfId="0" applyFont="1" applyFill="1" applyBorder="1" applyAlignment="1">
      <alignment horizontal="center" vertical="center" wrapText="1"/>
    </xf>
    <xf numFmtId="0" fontId="8" fillId="10" borderId="49" xfId="0" applyFont="1" applyFill="1" applyBorder="1" applyAlignment="1">
      <alignment horizontal="center" vertical="center" wrapText="1"/>
    </xf>
    <xf numFmtId="164" fontId="4" fillId="6" borderId="48" xfId="0" applyNumberFormat="1" applyFont="1" applyFill="1" applyBorder="1" applyAlignment="1">
      <alignment horizontal="center"/>
    </xf>
    <xf numFmtId="164" fontId="4" fillId="6" borderId="49" xfId="0" applyNumberFormat="1" applyFont="1" applyFill="1" applyBorder="1" applyAlignment="1">
      <alignment horizontal="center"/>
    </xf>
    <xf numFmtId="164" fontId="4" fillId="11" borderId="48" xfId="0" applyNumberFormat="1" applyFont="1" applyFill="1" applyBorder="1" applyAlignment="1">
      <alignment horizontal="center"/>
    </xf>
    <xf numFmtId="164" fontId="4" fillId="11" borderId="49" xfId="0" applyNumberFormat="1" applyFont="1" applyFill="1" applyBorder="1" applyAlignment="1">
      <alignment horizontal="center"/>
    </xf>
    <xf numFmtId="164" fontId="11" fillId="12" borderId="48" xfId="0" applyNumberFormat="1" applyFont="1" applyFill="1" applyBorder="1" applyAlignment="1">
      <alignment horizontal="center"/>
    </xf>
    <xf numFmtId="164" fontId="11" fillId="12" borderId="49" xfId="0" applyNumberFormat="1" applyFont="1" applyFill="1" applyBorder="1" applyAlignment="1">
      <alignment horizontal="center"/>
    </xf>
    <xf numFmtId="164" fontId="11" fillId="13" borderId="51" xfId="0" applyNumberFormat="1" applyFont="1" applyFill="1" applyBorder="1" applyAlignment="1">
      <alignment horizontal="center"/>
    </xf>
    <xf numFmtId="164" fontId="11" fillId="13" borderId="52" xfId="0" applyNumberFormat="1" applyFont="1" applyFill="1" applyBorder="1" applyAlignment="1">
      <alignment horizontal="center"/>
    </xf>
    <xf numFmtId="0" fontId="12" fillId="7" borderId="16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14" borderId="16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5" fillId="14" borderId="18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5" fillId="14" borderId="16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5" fillId="14" borderId="28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9" fillId="6" borderId="33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9" fillId="6" borderId="28" xfId="0" applyFont="1" applyFill="1" applyBorder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4" fillId="11" borderId="47" xfId="0" applyFont="1" applyFill="1" applyBorder="1" applyAlignment="1">
      <alignment horizontal="left"/>
    </xf>
    <xf numFmtId="0" fontId="12" fillId="6" borderId="0" xfId="0" applyFont="1" applyFill="1" applyAlignment="1">
      <alignment horizontal="center"/>
    </xf>
    <xf numFmtId="0" fontId="12" fillId="6" borderId="47" xfId="0" applyFont="1" applyFill="1" applyBorder="1" applyAlignment="1">
      <alignment horizontal="left"/>
    </xf>
    <xf numFmtId="0" fontId="16" fillId="6" borderId="0" xfId="0" applyFont="1" applyFill="1" applyAlignment="1">
      <alignment horizontal="center"/>
    </xf>
    <xf numFmtId="0" fontId="16" fillId="11" borderId="47" xfId="0" applyFont="1" applyFill="1" applyBorder="1" applyAlignment="1">
      <alignment horizontal="left"/>
    </xf>
    <xf numFmtId="0" fontId="20" fillId="6" borderId="0" xfId="0" applyFont="1" applyFill="1" applyAlignment="1">
      <alignment horizontal="center"/>
    </xf>
    <xf numFmtId="0" fontId="20" fillId="6" borderId="47" xfId="0" applyFont="1" applyFill="1" applyBorder="1" applyAlignment="1">
      <alignment horizontal="left"/>
    </xf>
    <xf numFmtId="0" fontId="21" fillId="6" borderId="0" xfId="0" applyFont="1" applyFill="1" applyAlignment="1">
      <alignment horizontal="center"/>
    </xf>
    <xf numFmtId="0" fontId="21" fillId="11" borderId="47" xfId="0" applyFont="1" applyFill="1" applyBorder="1" applyAlignment="1">
      <alignment horizontal="left"/>
    </xf>
    <xf numFmtId="0" fontId="21" fillId="13" borderId="50" xfId="0" applyFont="1" applyFill="1" applyBorder="1" applyAlignment="1">
      <alignment horizontal="left"/>
    </xf>
    <xf numFmtId="0" fontId="0" fillId="15" borderId="0" xfId="0" applyFill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vertical="center"/>
    </xf>
    <xf numFmtId="0" fontId="2" fillId="6" borderId="31" xfId="0" applyFont="1" applyFill="1" applyBorder="1" applyAlignment="1">
      <alignment horizontal="center" vertical="center"/>
    </xf>
    <xf numFmtId="0" fontId="15" fillId="14" borderId="54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4" fillId="7" borderId="54" xfId="0" applyFont="1" applyFill="1" applyBorder="1" applyAlignment="1">
      <alignment horizontal="center" vertical="center"/>
    </xf>
    <xf numFmtId="0" fontId="4" fillId="14" borderId="55" xfId="0" applyFont="1" applyFill="1" applyBorder="1" applyAlignment="1">
      <alignment horizontal="center" vertical="center"/>
    </xf>
    <xf numFmtId="0" fontId="15" fillId="14" borderId="55" xfId="0" applyFont="1" applyFill="1" applyBorder="1" applyAlignment="1">
      <alignment horizontal="center" vertical="center"/>
    </xf>
    <xf numFmtId="0" fontId="15" fillId="14" borderId="56" xfId="0" applyFont="1" applyFill="1" applyBorder="1" applyAlignment="1">
      <alignment horizontal="center" vertical="center"/>
    </xf>
    <xf numFmtId="0" fontId="14" fillId="7" borderId="58" xfId="0" applyFont="1" applyFill="1" applyBorder="1" applyAlignment="1">
      <alignment horizontal="center" vertical="center"/>
    </xf>
    <xf numFmtId="0" fontId="15" fillId="6" borderId="5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2" fillId="7" borderId="21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8" fillId="9" borderId="0" xfId="0" applyFont="1" applyFill="1" applyAlignment="1">
      <alignment horizontal="center" vertical="center" wrapText="1"/>
    </xf>
    <xf numFmtId="0" fontId="0" fillId="0" borderId="36" xfId="0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36" xfId="0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3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1" fillId="8" borderId="26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3" fillId="6" borderId="57" xfId="0" applyFont="1" applyFill="1" applyBorder="1" applyAlignment="1">
      <alignment horizontal="center" vertical="center"/>
    </xf>
    <xf numFmtId="0" fontId="13" fillId="6" borderId="59" xfId="0" applyFont="1" applyFill="1" applyBorder="1" applyAlignment="1">
      <alignment horizontal="center" vertical="center"/>
    </xf>
    <xf numFmtId="0" fontId="12" fillId="7" borderId="58" xfId="0" applyFont="1" applyFill="1" applyBorder="1" applyAlignment="1">
      <alignment horizontal="center" vertical="center"/>
    </xf>
    <xf numFmtId="0" fontId="13" fillId="6" borderId="60" xfId="0" applyFont="1" applyFill="1" applyBorder="1" applyAlignment="1">
      <alignment horizontal="center" vertical="center"/>
    </xf>
    <xf numFmtId="0" fontId="15" fillId="14" borderId="53" xfId="0" applyFont="1" applyFill="1" applyBorder="1" applyAlignment="1">
      <alignment horizontal="center" vertical="center"/>
    </xf>
    <xf numFmtId="0" fontId="3" fillId="14" borderId="54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18" fillId="14" borderId="18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14" borderId="33" xfId="0" applyFont="1" applyFill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/>
    </xf>
    <xf numFmtId="0" fontId="3" fillId="14" borderId="28" xfId="0" applyFont="1" applyFill="1" applyBorder="1" applyAlignment="1">
      <alignment horizontal="center" vertical="center"/>
    </xf>
    <xf numFmtId="0" fontId="15" fillId="14" borderId="33" xfId="0" applyFont="1" applyFill="1" applyBorder="1" applyAlignment="1">
      <alignment horizontal="center" vertical="center"/>
    </xf>
    <xf numFmtId="0" fontId="26" fillId="0" borderId="0" xfId="0" applyFont="1"/>
    <xf numFmtId="0" fontId="8" fillId="10" borderId="61" xfId="0" applyFont="1" applyFill="1" applyBorder="1" applyAlignment="1">
      <alignment horizontal="center" vertical="center" wrapText="1"/>
    </xf>
    <xf numFmtId="0" fontId="8" fillId="10" borderId="62" xfId="0" applyFont="1" applyFill="1" applyBorder="1" applyAlignment="1">
      <alignment horizontal="center" vertical="center" wrapText="1"/>
    </xf>
    <xf numFmtId="0" fontId="8" fillId="10" borderId="63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left"/>
    </xf>
    <xf numFmtId="0" fontId="2" fillId="0" borderId="65" xfId="0" applyFont="1" applyBorder="1" applyAlignment="1">
      <alignment horizontal="left"/>
    </xf>
    <xf numFmtId="0" fontId="0" fillId="0" borderId="65" xfId="0" applyBorder="1" applyAlignment="1">
      <alignment horizontal="center"/>
    </xf>
    <xf numFmtId="165" fontId="0" fillId="0" borderId="65" xfId="0" applyNumberFormat="1" applyBorder="1" applyAlignment="1">
      <alignment horizontal="center"/>
    </xf>
    <xf numFmtId="1" fontId="0" fillId="0" borderId="65" xfId="0" applyNumberFormat="1" applyBorder="1" applyAlignment="1">
      <alignment horizontal="center"/>
    </xf>
    <xf numFmtId="166" fontId="0" fillId="0" borderId="65" xfId="0" applyNumberFormat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left"/>
    </xf>
    <xf numFmtId="0" fontId="2" fillId="0" borderId="68" xfId="0" applyFont="1" applyBorder="1" applyAlignment="1">
      <alignment horizontal="left"/>
    </xf>
    <xf numFmtId="0" fontId="0" fillId="0" borderId="68" xfId="0" applyBorder="1" applyAlignment="1">
      <alignment horizontal="center"/>
    </xf>
    <xf numFmtId="165" fontId="0" fillId="0" borderId="68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66" fontId="0" fillId="0" borderId="68" xfId="0" applyNumberFormat="1" applyBorder="1" applyAlignment="1">
      <alignment horizontal="center"/>
    </xf>
    <xf numFmtId="0" fontId="0" fillId="0" borderId="69" xfId="0" applyBorder="1" applyAlignment="1">
      <alignment horizontal="center"/>
    </xf>
    <xf numFmtId="0" fontId="2" fillId="11" borderId="39" xfId="0" applyFont="1" applyFill="1" applyBorder="1"/>
    <xf numFmtId="0" fontId="2" fillId="6" borderId="40" xfId="0" applyFont="1" applyFill="1" applyBorder="1"/>
    <xf numFmtId="0" fontId="0" fillId="6" borderId="42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165" fontId="0" fillId="6" borderId="42" xfId="0" applyNumberFormat="1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5" fillId="6" borderId="72" xfId="0" applyFont="1" applyFill="1" applyBorder="1" applyAlignment="1">
      <alignment horizontal="center"/>
    </xf>
    <xf numFmtId="0" fontId="2" fillId="6" borderId="73" xfId="0" applyFont="1" applyFill="1" applyBorder="1" applyAlignment="1">
      <alignment horizontal="center"/>
    </xf>
    <xf numFmtId="0" fontId="14" fillId="11" borderId="72" xfId="0" applyFont="1" applyFill="1" applyBorder="1" applyAlignment="1">
      <alignment horizontal="center"/>
    </xf>
    <xf numFmtId="0" fontId="2" fillId="11" borderId="73" xfId="0" applyFont="1" applyFill="1" applyBorder="1" applyAlignment="1">
      <alignment horizontal="center"/>
    </xf>
    <xf numFmtId="0" fontId="12" fillId="6" borderId="72" xfId="0" applyFont="1" applyFill="1" applyBorder="1" applyAlignment="1">
      <alignment horizontal="center"/>
    </xf>
    <xf numFmtId="0" fontId="16" fillId="11" borderId="72" xfId="0" applyFont="1" applyFill="1" applyBorder="1" applyAlignment="1">
      <alignment horizontal="center"/>
    </xf>
    <xf numFmtId="0" fontId="20" fillId="6" borderId="72" xfId="0" applyFont="1" applyFill="1" applyBorder="1" applyAlignment="1">
      <alignment horizontal="center"/>
    </xf>
    <xf numFmtId="0" fontId="21" fillId="11" borderId="72" xfId="0" applyFont="1" applyFill="1" applyBorder="1" applyAlignment="1">
      <alignment horizontal="center"/>
    </xf>
    <xf numFmtId="0" fontId="2" fillId="8" borderId="74" xfId="0" applyFont="1" applyFill="1" applyBorder="1" applyAlignment="1">
      <alignment horizontal="center"/>
    </xf>
    <xf numFmtId="0" fontId="2" fillId="8" borderId="75" xfId="0" applyFont="1" applyFill="1" applyBorder="1" applyAlignment="1">
      <alignment horizontal="center"/>
    </xf>
    <xf numFmtId="0" fontId="0" fillId="6" borderId="39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42" xfId="0" applyFill="1" applyBorder="1" applyAlignment="1">
      <alignment horizontal="left" vertical="center"/>
    </xf>
    <xf numFmtId="0" fontId="0" fillId="7" borderId="39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42" xfId="0" applyFill="1" applyBorder="1" applyAlignment="1">
      <alignment horizontal="left" vertical="center"/>
    </xf>
    <xf numFmtId="0" fontId="0" fillId="6" borderId="40" xfId="0" applyFill="1" applyBorder="1" applyAlignment="1">
      <alignment horizontal="left" vertical="center"/>
    </xf>
    <xf numFmtId="0" fontId="0" fillId="6" borderId="37" xfId="0" applyFill="1" applyBorder="1" applyAlignment="1">
      <alignment horizontal="left" vertical="center"/>
    </xf>
    <xf numFmtId="0" fontId="0" fillId="6" borderId="43" xfId="0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7" fillId="9" borderId="44" xfId="0" applyFont="1" applyFill="1" applyBorder="1" applyAlignment="1">
      <alignment horizontal="center"/>
    </xf>
    <xf numFmtId="0" fontId="7" fillId="9" borderId="45" xfId="0" applyFont="1" applyFill="1" applyBorder="1" applyAlignment="1">
      <alignment horizontal="center"/>
    </xf>
    <xf numFmtId="0" fontId="7" fillId="9" borderId="46" xfId="0" applyFont="1" applyFill="1" applyBorder="1" applyAlignment="1">
      <alignment horizontal="center"/>
    </xf>
    <xf numFmtId="0" fontId="9" fillId="9" borderId="38" xfId="0" applyFont="1" applyFill="1" applyBorder="1" applyAlignment="1">
      <alignment horizontal="center"/>
    </xf>
    <xf numFmtId="0" fontId="9" fillId="9" borderId="36" xfId="0" applyFont="1" applyFill="1" applyBorder="1" applyAlignment="1">
      <alignment horizontal="center"/>
    </xf>
    <xf numFmtId="0" fontId="9" fillId="9" borderId="41" xfId="0" applyFont="1" applyFill="1" applyBorder="1" applyAlignment="1">
      <alignment horizontal="center"/>
    </xf>
    <xf numFmtId="0" fontId="22" fillId="11" borderId="39" xfId="0" applyFont="1" applyFill="1" applyBorder="1" applyAlignment="1">
      <alignment horizontal="left" vertical="top" wrapText="1"/>
    </xf>
    <xf numFmtId="0" fontId="22" fillId="11" borderId="0" xfId="0" applyFont="1" applyFill="1" applyAlignment="1">
      <alignment horizontal="left" vertical="top" wrapText="1"/>
    </xf>
    <xf numFmtId="0" fontId="22" fillId="11" borderId="42" xfId="0" applyFont="1" applyFill="1" applyBorder="1" applyAlignment="1">
      <alignment horizontal="left" vertical="top" wrapText="1"/>
    </xf>
    <xf numFmtId="0" fontId="22" fillId="6" borderId="40" xfId="0" applyFont="1" applyFill="1" applyBorder="1" applyAlignment="1">
      <alignment horizontal="left" vertical="top" wrapText="1"/>
    </xf>
    <xf numFmtId="0" fontId="22" fillId="6" borderId="37" xfId="0" applyFont="1" applyFill="1" applyBorder="1" applyAlignment="1">
      <alignment horizontal="left" vertical="top" wrapText="1"/>
    </xf>
    <xf numFmtId="0" fontId="22" fillId="6" borderId="43" xfId="0" applyFont="1" applyFill="1" applyBorder="1" applyAlignment="1">
      <alignment horizontal="left" vertical="top" wrapText="1"/>
    </xf>
    <xf numFmtId="0" fontId="10" fillId="9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8" fillId="9" borderId="38" xfId="0" applyFont="1" applyFill="1" applyBorder="1" applyAlignment="1">
      <alignment horizontal="center"/>
    </xf>
    <xf numFmtId="0" fontId="8" fillId="9" borderId="36" xfId="0" applyFont="1" applyFill="1" applyBorder="1" applyAlignment="1">
      <alignment horizontal="center"/>
    </xf>
    <xf numFmtId="0" fontId="8" fillId="9" borderId="41" xfId="0" applyFont="1" applyFill="1" applyBorder="1" applyAlignment="1">
      <alignment horizontal="center"/>
    </xf>
    <xf numFmtId="0" fontId="22" fillId="6" borderId="39" xfId="0" applyFont="1" applyFill="1" applyBorder="1" applyAlignment="1">
      <alignment horizontal="left" vertical="top" wrapText="1"/>
    </xf>
    <xf numFmtId="0" fontId="22" fillId="6" borderId="0" xfId="0" applyFont="1" applyFill="1" applyAlignment="1">
      <alignment horizontal="left" vertical="top" wrapText="1"/>
    </xf>
    <xf numFmtId="0" fontId="22" fillId="6" borderId="42" xfId="0" applyFont="1" applyFill="1" applyBorder="1" applyAlignment="1">
      <alignment horizontal="left" vertical="top" wrapText="1"/>
    </xf>
    <xf numFmtId="0" fontId="25" fillId="9" borderId="0" xfId="0" applyFont="1" applyFill="1" applyAlignment="1">
      <alignment horizontal="center" vertical="center"/>
    </xf>
    <xf numFmtId="0" fontId="8" fillId="9" borderId="70" xfId="0" applyFont="1" applyFill="1" applyBorder="1" applyAlignment="1">
      <alignment horizontal="center"/>
    </xf>
    <xf numFmtId="0" fontId="8" fillId="9" borderId="7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146"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border>
        <top style="thin">
          <color rgb="FF1F4E79"/>
        </top>
      </border>
    </dxf>
    <dxf>
      <fill>
        <patternFill patternType="solid">
          <fgColor indexed="64"/>
          <bgColor rgb="FFF2F7FC"/>
        </patternFill>
      </fill>
    </dxf>
    <dxf>
      <font>
        <color rgb="FFC9C9C9"/>
      </font>
      <fill>
        <patternFill patternType="solid">
          <fgColor indexed="64"/>
          <bgColor rgb="FFFAFAFA"/>
        </patternFill>
      </fill>
    </dxf>
    <dxf>
      <font>
        <color rgb="FFC9C9C9"/>
      </font>
      <fill>
        <patternFill patternType="solid">
          <fgColor indexed="64"/>
          <bgColor rgb="FFFAFAFA"/>
        </patternFill>
      </fill>
    </dxf>
    <dxf>
      <font>
        <b/>
        <i val="0"/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</font>
      <fill>
        <patternFill patternType="solid">
          <fgColor indexed="64"/>
          <bgColor rgb="FFA9D08E"/>
        </patternFill>
      </fill>
    </dxf>
    <dxf>
      <font>
        <color rgb="FFB30000"/>
      </font>
      <fill>
        <patternFill patternType="solid">
          <fgColor indexed="64"/>
          <bgColor rgb="FFFCE4E4"/>
        </patternFill>
      </fill>
    </dxf>
    <dxf>
      <font>
        <b/>
        <i val="0"/>
        <color rgb="FF2E5218"/>
      </font>
      <fill>
        <patternFill patternType="solid">
          <fgColor indexed="64"/>
          <bgColor rgb="FFE2EFDA"/>
        </patternFill>
      </fill>
    </dxf>
    <dxf>
      <font>
        <b/>
        <i val="0"/>
        <color rgb="FF2E5218"/>
      </font>
    </dxf>
    <dxf>
      <font>
        <b/>
        <i val="0"/>
        <color rgb="FF595959"/>
      </font>
    </dxf>
    <dxf>
      <font>
        <b/>
        <i val="0"/>
        <color rgb="FF7F6000"/>
      </font>
    </dxf>
    <dxf>
      <font>
        <b/>
        <i val="0"/>
        <color rgb="FF0B5394"/>
      </font>
    </dxf>
    <dxf>
      <font>
        <b/>
        <i val="0"/>
        <color rgb="FFB30000"/>
      </font>
    </dxf>
    <dxf>
      <font>
        <b/>
        <i val="0"/>
        <color rgb="FF7030A0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\+0;\-0;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1276350</xdr:colOff>
      <xdr:row>1</xdr:row>
      <xdr:rowOff>396875</xdr:rowOff>
    </xdr:to>
    <xdr:sp macro="" textlink="">
      <xdr:nvSpPr>
        <xdr:cNvPr id="2" name="Logo_Badge">
          <a:extLst>
            <a:ext uri="{FF2B5EF4-FFF2-40B4-BE49-F238E27FC236}">
              <a16:creationId xmlns:a16="http://schemas.microsoft.com/office/drawing/2014/main" id="{9574D460-1A07-40CD-B3E6-9DAAFFDC4997}"/>
            </a:ext>
          </a:extLst>
        </xdr:cNvPr>
        <xdr:cNvSpPr/>
      </xdr:nvSpPr>
      <xdr:spPr>
        <a:xfrm>
          <a:off x="38100" y="38100"/>
          <a:ext cx="1238250" cy="787400"/>
        </a:xfrm>
        <a:prstGeom prst="roundRect">
          <a:avLst/>
        </a:prstGeom>
        <a:solidFill>
          <a:srgbClr val="1F4E79"/>
        </a:solidFill>
        <a:ln w="254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🏈 YEAR XIV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
FANTASY FOOTBALL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857E4-37E6-4039-B7BB-049DD76479CF}" name="Outlook2026" displayName="Outlook2026" ref="A3:L162" totalsRowShown="0" headerRowDxfId="145" dataDxfId="144">
  <autoFilter ref="A3:L162" xr:uid="{296857E4-37E6-4039-B7BB-049DD76479CF}"/>
  <tableColumns count="12">
    <tableColumn id="1" xr3:uid="{FDE1B780-81F5-45ED-B5EB-6F7E192B8273}" name="2025 Team (owner)" dataDxfId="143"/>
    <tableColumn id="2" xr3:uid="{325D1E21-D02C-4651-8B4C-BD6988FF5AF6}" name="2025 Slot" dataDxfId="142"/>
    <tableColumn id="3" xr3:uid="{EE2A7C98-FB96-49C0-BAC1-3127633D2FC7}" name="Player" dataDxfId="141"/>
    <tableColumn id="4" xr3:uid="{EE421CD4-EBFE-4682-AAC4-CE23718C1DF0}" name="Pos" dataDxfId="140"/>
    <tableColumn id="5" xr3:uid="{5D1B5D31-B3CE-44A9-930D-1A2BF25D0206}" name="NFL Team (roster dump)" dataDxfId="139"/>
    <tableColumn id="8" xr3:uid="{EBB47B82-EAA4-41BB-AC11-24E54CD517F2}" name="2026 ADP (half PPR)" dataDxfId="138"/>
    <tableColumn id="9" xr3:uid="{E2A48C2B-AE86-4179-9C47-37E8E6415170}" name="ADP Round" dataDxfId="137">
      <calculatedColumnFormula>IF($F4="","",ROUNDUP($F4/10,0))</calculatedColumnFormula>
    </tableColumn>
    <tableColumn id="10" xr3:uid="{366FA8FB-5FED-492B-8B59-804176A800F4}" name="Keeper Cost (Rd)" dataDxfId="136"/>
    <tableColumn id="11" xr3:uid="{44B572F0-3791-4872-867E-7777AE246614}" name="Value (Rd)" dataDxfId="135">
      <calculatedColumnFormula>IF($G4="","",$H4-$G4)</calculatedColumnFormula>
    </tableColumn>
    <tableColumn id="12" xr3:uid="{CB9D062A-4EAD-4BC5-9949-9DEABFE547A6}" name="Kept in 2025 (★)" dataDxfId="134"/>
    <tableColumn id="13" xr3:uid="{ABD186B4-AD3B-4AF8-B69B-3014231FBF37}" name="Status (roster dump)" dataDxfId="133"/>
    <tableColumn id="14" xr3:uid="{5F590683-E315-4CB9-BF1A-CCB0CFA8C9C3}" name="ADP fallback check" dataDxfId="1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8F4451-4476-42F2-AF7F-28CEAAADAFAC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9f44be87-d9d4-47bb-99e6-17a326be454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E43B-DAAA-4B88-A232-518646BD091B}">
  <dimension ref="A1:L16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8" sqref="F8"/>
    </sheetView>
  </sheetViews>
  <sheetFormatPr defaultRowHeight="15" x14ac:dyDescent="0.25"/>
  <cols>
    <col min="1" max="1" width="41" customWidth="1"/>
    <col min="2" max="2" width="16.140625" customWidth="1"/>
    <col min="3" max="3" width="30.42578125" customWidth="1"/>
    <col min="4" max="4" width="9.5703125" customWidth="1"/>
    <col min="5" max="5" width="18.140625" customWidth="1"/>
    <col min="6" max="6" width="20" customWidth="1"/>
    <col min="7" max="7" width="16.140625" customWidth="1"/>
    <col min="8" max="8" width="20" customWidth="1"/>
    <col min="9" max="9" width="15.28515625" customWidth="1"/>
    <col min="10" max="10" width="12.42578125" customWidth="1"/>
    <col min="11" max="11" width="22.85546875" customWidth="1"/>
    <col min="12" max="12" width="33.28515625" customWidth="1"/>
  </cols>
  <sheetData>
    <row r="1" spans="1:12" ht="30" customHeight="1" x14ac:dyDescent="0.25">
      <c r="A1" s="266" t="s">
        <v>487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</row>
    <row r="2" spans="1:12" ht="21.95" customHeight="1" x14ac:dyDescent="0.25">
      <c r="A2" s="267" t="s">
        <v>508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</row>
    <row r="3" spans="1:12" ht="44.1" customHeight="1" x14ac:dyDescent="0.25">
      <c r="A3" s="163" t="s">
        <v>407</v>
      </c>
      <c r="B3" s="163" t="s">
        <v>408</v>
      </c>
      <c r="C3" s="163" t="s">
        <v>409</v>
      </c>
      <c r="D3" s="163" t="s">
        <v>410</v>
      </c>
      <c r="E3" s="163" t="s">
        <v>477</v>
      </c>
      <c r="F3" s="163" t="s">
        <v>411</v>
      </c>
      <c r="G3" s="163" t="s">
        <v>412</v>
      </c>
      <c r="H3" s="163" t="s">
        <v>413</v>
      </c>
      <c r="I3" s="163" t="s">
        <v>414</v>
      </c>
      <c r="J3" s="163" t="s">
        <v>510</v>
      </c>
      <c r="K3" s="163" t="s">
        <v>478</v>
      </c>
      <c r="L3" s="163" t="s">
        <v>482</v>
      </c>
    </row>
    <row r="4" spans="1:12" x14ac:dyDescent="0.25">
      <c r="A4" s="171" t="s">
        <v>415</v>
      </c>
      <c r="B4" s="169" t="s">
        <v>416</v>
      </c>
      <c r="C4" s="169" t="s">
        <v>96</v>
      </c>
      <c r="D4" s="157" t="s">
        <v>393</v>
      </c>
      <c r="E4" s="157" t="s">
        <v>417</v>
      </c>
      <c r="F4" s="158">
        <v>2.2000000000000002</v>
      </c>
      <c r="G4" s="159">
        <f t="shared" ref="G4:G35" si="0">IF($F4="","",ROUNDUP($F4/10,0))</f>
        <v>1</v>
      </c>
      <c r="H4" s="159">
        <v>1</v>
      </c>
      <c r="I4" s="160">
        <f t="shared" ref="I4:I35" si="1">IF($G4="","",$H4-$G4)</f>
        <v>0</v>
      </c>
      <c r="J4" s="157" t="s">
        <v>418</v>
      </c>
      <c r="K4" s="157"/>
      <c r="L4" s="162"/>
    </row>
    <row r="5" spans="1:12" x14ac:dyDescent="0.25">
      <c r="A5" s="171" t="s">
        <v>415</v>
      </c>
      <c r="B5" s="169" t="s">
        <v>419</v>
      </c>
      <c r="C5" s="169" t="s">
        <v>90</v>
      </c>
      <c r="D5" s="157" t="s">
        <v>394</v>
      </c>
      <c r="E5" s="157" t="s">
        <v>420</v>
      </c>
      <c r="F5" s="158">
        <v>27.6</v>
      </c>
      <c r="G5" s="159">
        <f t="shared" si="0"/>
        <v>3</v>
      </c>
      <c r="H5" s="159">
        <v>5</v>
      </c>
      <c r="I5" s="160">
        <f t="shared" si="1"/>
        <v>2</v>
      </c>
      <c r="J5" s="157"/>
      <c r="K5" s="157"/>
      <c r="L5" s="162"/>
    </row>
    <row r="6" spans="1:12" x14ac:dyDescent="0.25">
      <c r="A6" s="171" t="s">
        <v>415</v>
      </c>
      <c r="B6" s="169" t="s">
        <v>421</v>
      </c>
      <c r="C6" s="169" t="s">
        <v>45</v>
      </c>
      <c r="D6" s="157" t="s">
        <v>392</v>
      </c>
      <c r="E6" s="157" t="s">
        <v>422</v>
      </c>
      <c r="F6" s="158">
        <v>28.3</v>
      </c>
      <c r="G6" s="159">
        <f t="shared" si="0"/>
        <v>3</v>
      </c>
      <c r="H6" s="159">
        <v>2</v>
      </c>
      <c r="I6" s="160">
        <f t="shared" si="1"/>
        <v>-1</v>
      </c>
      <c r="J6" s="157"/>
      <c r="K6" s="157"/>
      <c r="L6" s="162"/>
    </row>
    <row r="7" spans="1:12" x14ac:dyDescent="0.25">
      <c r="A7" s="171" t="s">
        <v>415</v>
      </c>
      <c r="B7" s="169" t="s">
        <v>423</v>
      </c>
      <c r="C7" s="169" t="s">
        <v>97</v>
      </c>
      <c r="D7" s="157" t="s">
        <v>393</v>
      </c>
      <c r="E7" s="157" t="s">
        <v>424</v>
      </c>
      <c r="F7" s="158">
        <v>30.9</v>
      </c>
      <c r="G7" s="159">
        <f t="shared" si="0"/>
        <v>4</v>
      </c>
      <c r="H7" s="159">
        <v>14</v>
      </c>
      <c r="I7" s="160">
        <f t="shared" si="1"/>
        <v>10</v>
      </c>
      <c r="J7" s="157" t="s">
        <v>418</v>
      </c>
      <c r="K7" s="157"/>
      <c r="L7" s="162"/>
    </row>
    <row r="8" spans="1:12" x14ac:dyDescent="0.25">
      <c r="A8" s="171" t="s">
        <v>415</v>
      </c>
      <c r="B8" s="169" t="s">
        <v>425</v>
      </c>
      <c r="C8" s="169" t="s">
        <v>35</v>
      </c>
      <c r="D8" s="157" t="s">
        <v>394</v>
      </c>
      <c r="E8" s="157" t="s">
        <v>424</v>
      </c>
      <c r="F8" s="158">
        <v>38.1</v>
      </c>
      <c r="G8" s="159">
        <f t="shared" si="0"/>
        <v>4</v>
      </c>
      <c r="H8" s="159">
        <v>3</v>
      </c>
      <c r="I8" s="160">
        <f t="shared" si="1"/>
        <v>-1</v>
      </c>
      <c r="J8" s="157"/>
      <c r="K8" s="157"/>
      <c r="L8" s="162"/>
    </row>
    <row r="9" spans="1:12" x14ac:dyDescent="0.25">
      <c r="A9" s="171" t="s">
        <v>415</v>
      </c>
      <c r="B9" s="169" t="s">
        <v>426</v>
      </c>
      <c r="C9" s="169" t="s">
        <v>78</v>
      </c>
      <c r="D9" s="157" t="s">
        <v>394</v>
      </c>
      <c r="E9" s="157" t="s">
        <v>428</v>
      </c>
      <c r="F9" s="158">
        <v>42.2</v>
      </c>
      <c r="G9" s="159">
        <f t="shared" si="0"/>
        <v>5</v>
      </c>
      <c r="H9" s="159">
        <v>15</v>
      </c>
      <c r="I9" s="160">
        <f t="shared" si="1"/>
        <v>10</v>
      </c>
      <c r="J9" s="157" t="s">
        <v>418</v>
      </c>
      <c r="K9" s="157"/>
      <c r="L9" s="162"/>
    </row>
    <row r="10" spans="1:12" x14ac:dyDescent="0.25">
      <c r="A10" s="171" t="s">
        <v>415</v>
      </c>
      <c r="B10" s="169" t="s">
        <v>429</v>
      </c>
      <c r="C10" s="169" t="s">
        <v>44</v>
      </c>
      <c r="D10" s="157" t="s">
        <v>393</v>
      </c>
      <c r="E10" s="157" t="s">
        <v>430</v>
      </c>
      <c r="F10" s="158">
        <v>55.1</v>
      </c>
      <c r="G10" s="159">
        <f t="shared" si="0"/>
        <v>6</v>
      </c>
      <c r="H10" s="159">
        <v>13</v>
      </c>
      <c r="I10" s="160">
        <f t="shared" si="1"/>
        <v>7</v>
      </c>
      <c r="J10" s="157" t="s">
        <v>418</v>
      </c>
      <c r="K10" s="157"/>
      <c r="L10" s="162"/>
    </row>
    <row r="11" spans="1:12" x14ac:dyDescent="0.25">
      <c r="A11" s="171" t="s">
        <v>415</v>
      </c>
      <c r="B11" s="169" t="s">
        <v>431</v>
      </c>
      <c r="C11" s="169" t="s">
        <v>26</v>
      </c>
      <c r="D11" s="157" t="s">
        <v>394</v>
      </c>
      <c r="E11" s="157" t="s">
        <v>432</v>
      </c>
      <c r="F11" s="158">
        <v>78.7</v>
      </c>
      <c r="G11" s="159">
        <f t="shared" si="0"/>
        <v>8</v>
      </c>
      <c r="H11" s="159">
        <v>8</v>
      </c>
      <c r="I11" s="160">
        <f t="shared" si="1"/>
        <v>0</v>
      </c>
      <c r="J11" s="157"/>
      <c r="K11" s="157"/>
      <c r="L11" s="162"/>
    </row>
    <row r="12" spans="1:12" x14ac:dyDescent="0.25">
      <c r="A12" s="171" t="s">
        <v>415</v>
      </c>
      <c r="B12" s="169" t="s">
        <v>433</v>
      </c>
      <c r="C12" s="169" t="s">
        <v>132</v>
      </c>
      <c r="D12" s="157" t="s">
        <v>395</v>
      </c>
      <c r="E12" s="157" t="s">
        <v>434</v>
      </c>
      <c r="F12" s="158">
        <v>79.400000000000006</v>
      </c>
      <c r="G12" s="159">
        <f t="shared" si="0"/>
        <v>8</v>
      </c>
      <c r="H12" s="159">
        <v>9</v>
      </c>
      <c r="I12" s="160">
        <f t="shared" si="1"/>
        <v>1</v>
      </c>
      <c r="J12" s="157"/>
      <c r="K12" s="157"/>
      <c r="L12" s="162"/>
    </row>
    <row r="13" spans="1:12" x14ac:dyDescent="0.25">
      <c r="A13" s="171" t="s">
        <v>415</v>
      </c>
      <c r="B13" s="169" t="s">
        <v>435</v>
      </c>
      <c r="C13" s="169" t="s">
        <v>217</v>
      </c>
      <c r="D13" s="157" t="s">
        <v>397</v>
      </c>
      <c r="E13" s="157" t="s">
        <v>436</v>
      </c>
      <c r="F13" s="158">
        <v>86.9</v>
      </c>
      <c r="G13" s="159">
        <f t="shared" si="0"/>
        <v>9</v>
      </c>
      <c r="H13" s="159">
        <v>15</v>
      </c>
      <c r="I13" s="160">
        <f t="shared" si="1"/>
        <v>6</v>
      </c>
      <c r="J13" s="157"/>
      <c r="K13" s="157"/>
      <c r="L13" s="162"/>
    </row>
    <row r="14" spans="1:12" x14ac:dyDescent="0.25">
      <c r="A14" s="171" t="s">
        <v>415</v>
      </c>
      <c r="B14" s="169" t="s">
        <v>437</v>
      </c>
      <c r="C14" s="169" t="s">
        <v>117</v>
      </c>
      <c r="D14" s="157" t="s">
        <v>394</v>
      </c>
      <c r="E14" s="157" t="s">
        <v>438</v>
      </c>
      <c r="F14" s="158">
        <v>93.2</v>
      </c>
      <c r="G14" s="159">
        <f t="shared" si="0"/>
        <v>10</v>
      </c>
      <c r="H14" s="159">
        <v>4</v>
      </c>
      <c r="I14" s="160">
        <f t="shared" si="1"/>
        <v>-6</v>
      </c>
      <c r="J14" s="157"/>
      <c r="K14" s="157"/>
      <c r="L14" s="162"/>
    </row>
    <row r="15" spans="1:12" x14ac:dyDescent="0.25">
      <c r="A15" s="171" t="s">
        <v>415</v>
      </c>
      <c r="B15" s="169" t="s">
        <v>439</v>
      </c>
      <c r="C15" s="169" t="s">
        <v>75</v>
      </c>
      <c r="D15" s="157" t="s">
        <v>395</v>
      </c>
      <c r="E15" s="157" t="s">
        <v>420</v>
      </c>
      <c r="F15" s="158">
        <v>125.2</v>
      </c>
      <c r="G15" s="159">
        <f t="shared" si="0"/>
        <v>13</v>
      </c>
      <c r="H15" s="159">
        <v>7</v>
      </c>
      <c r="I15" s="160">
        <f t="shared" si="1"/>
        <v>-6</v>
      </c>
      <c r="J15" s="157"/>
      <c r="K15" s="157"/>
      <c r="L15" s="162"/>
    </row>
    <row r="16" spans="1:12" x14ac:dyDescent="0.25">
      <c r="A16" s="171" t="s">
        <v>415</v>
      </c>
      <c r="B16" s="169" t="s">
        <v>435</v>
      </c>
      <c r="C16" s="169" t="s">
        <v>85</v>
      </c>
      <c r="D16" s="157" t="s">
        <v>395</v>
      </c>
      <c r="E16" s="157" t="s">
        <v>422</v>
      </c>
      <c r="F16" s="158">
        <v>143.30000000000001</v>
      </c>
      <c r="G16" s="159">
        <f t="shared" si="0"/>
        <v>15</v>
      </c>
      <c r="H16" s="159">
        <v>15</v>
      </c>
      <c r="I16" s="160">
        <f t="shared" si="1"/>
        <v>0</v>
      </c>
      <c r="J16" s="157"/>
      <c r="K16" s="157"/>
      <c r="L16" s="162"/>
    </row>
    <row r="17" spans="1:12" x14ac:dyDescent="0.25">
      <c r="A17" s="171" t="s">
        <v>415</v>
      </c>
      <c r="B17" s="169" t="s">
        <v>440</v>
      </c>
      <c r="C17" s="169" t="s">
        <v>143</v>
      </c>
      <c r="D17" s="157" t="s">
        <v>396</v>
      </c>
      <c r="E17" s="157" t="s">
        <v>428</v>
      </c>
      <c r="F17" s="158">
        <v>150.4</v>
      </c>
      <c r="G17" s="159">
        <f t="shared" si="0"/>
        <v>16</v>
      </c>
      <c r="H17" s="159">
        <v>12</v>
      </c>
      <c r="I17" s="160">
        <f t="shared" si="1"/>
        <v>-4</v>
      </c>
      <c r="J17" s="157"/>
      <c r="K17" s="157"/>
      <c r="L17" s="162"/>
    </row>
    <row r="18" spans="1:12" x14ac:dyDescent="0.25">
      <c r="A18" s="171" t="s">
        <v>415</v>
      </c>
      <c r="B18" s="169" t="s">
        <v>435</v>
      </c>
      <c r="C18" s="169" t="s">
        <v>69</v>
      </c>
      <c r="D18" s="157" t="s">
        <v>393</v>
      </c>
      <c r="E18" s="157" t="s">
        <v>438</v>
      </c>
      <c r="F18" s="158"/>
      <c r="G18" s="159" t="str">
        <f t="shared" si="0"/>
        <v/>
      </c>
      <c r="H18" s="159">
        <v>15</v>
      </c>
      <c r="I18" s="160" t="str">
        <f t="shared" si="1"/>
        <v/>
      </c>
      <c r="J18" s="157"/>
      <c r="K18" s="157" t="s">
        <v>479</v>
      </c>
      <c r="L18" s="162" t="s">
        <v>483</v>
      </c>
    </row>
    <row r="19" spans="1:12" ht="15.75" thickBot="1" x14ac:dyDescent="0.3">
      <c r="A19" s="171" t="s">
        <v>415</v>
      </c>
      <c r="B19" s="169" t="s">
        <v>435</v>
      </c>
      <c r="C19" s="169" t="s">
        <v>210</v>
      </c>
      <c r="D19" s="157" t="s">
        <v>397</v>
      </c>
      <c r="E19" s="157" t="s">
        <v>441</v>
      </c>
      <c r="F19" s="158"/>
      <c r="G19" s="159" t="str">
        <f t="shared" si="0"/>
        <v/>
      </c>
      <c r="H19" s="159">
        <v>15</v>
      </c>
      <c r="I19" s="160" t="str">
        <f t="shared" si="1"/>
        <v/>
      </c>
      <c r="J19" s="157"/>
      <c r="K19" s="157"/>
      <c r="L19" s="162"/>
    </row>
    <row r="20" spans="1:12" x14ac:dyDescent="0.25">
      <c r="A20" s="172" t="s">
        <v>442</v>
      </c>
      <c r="B20" s="170" t="s">
        <v>416</v>
      </c>
      <c r="C20" s="170" t="s">
        <v>95</v>
      </c>
      <c r="D20" s="164" t="s">
        <v>393</v>
      </c>
      <c r="E20" s="164" t="s">
        <v>428</v>
      </c>
      <c r="F20" s="165">
        <v>1.5</v>
      </c>
      <c r="G20" s="166">
        <f t="shared" si="0"/>
        <v>1</v>
      </c>
      <c r="H20" s="166">
        <v>1</v>
      </c>
      <c r="I20" s="167">
        <f t="shared" si="1"/>
        <v>0</v>
      </c>
      <c r="J20" s="164" t="s">
        <v>418</v>
      </c>
      <c r="K20" s="164"/>
      <c r="L20" s="168"/>
    </row>
    <row r="21" spans="1:12" x14ac:dyDescent="0.25">
      <c r="A21" s="171" t="s">
        <v>442</v>
      </c>
      <c r="B21" s="169" t="s">
        <v>421</v>
      </c>
      <c r="C21" s="169" t="s">
        <v>68</v>
      </c>
      <c r="D21" s="157" t="s">
        <v>394</v>
      </c>
      <c r="E21" s="157" t="s">
        <v>417</v>
      </c>
      <c r="F21" s="158">
        <v>12.8</v>
      </c>
      <c r="G21" s="159">
        <f t="shared" si="0"/>
        <v>2</v>
      </c>
      <c r="H21" s="159">
        <v>2</v>
      </c>
      <c r="I21" s="160">
        <f t="shared" si="1"/>
        <v>0</v>
      </c>
      <c r="J21" s="157" t="s">
        <v>418</v>
      </c>
      <c r="K21" s="157"/>
      <c r="L21" s="162"/>
    </row>
    <row r="22" spans="1:12" x14ac:dyDescent="0.25">
      <c r="A22" s="171" t="s">
        <v>442</v>
      </c>
      <c r="B22" s="169" t="s">
        <v>425</v>
      </c>
      <c r="C22" s="169" t="s">
        <v>63</v>
      </c>
      <c r="D22" s="157" t="s">
        <v>393</v>
      </c>
      <c r="E22" s="157" t="s">
        <v>438</v>
      </c>
      <c r="F22" s="158">
        <v>18.600000000000001</v>
      </c>
      <c r="G22" s="159">
        <f t="shared" si="0"/>
        <v>2</v>
      </c>
      <c r="H22" s="159">
        <v>3</v>
      </c>
      <c r="I22" s="160">
        <f t="shared" si="1"/>
        <v>1</v>
      </c>
      <c r="J22" s="157"/>
      <c r="K22" s="157"/>
      <c r="L22" s="162"/>
    </row>
    <row r="23" spans="1:12" x14ac:dyDescent="0.25">
      <c r="A23" s="171" t="s">
        <v>442</v>
      </c>
      <c r="B23" s="169" t="s">
        <v>439</v>
      </c>
      <c r="C23" s="169" t="s">
        <v>196</v>
      </c>
      <c r="D23" s="157" t="s">
        <v>394</v>
      </c>
      <c r="E23" s="157" t="s">
        <v>443</v>
      </c>
      <c r="F23" s="158">
        <v>29.9</v>
      </c>
      <c r="G23" s="159">
        <f t="shared" si="0"/>
        <v>3</v>
      </c>
      <c r="H23" s="159">
        <v>7</v>
      </c>
      <c r="I23" s="160">
        <f t="shared" si="1"/>
        <v>4</v>
      </c>
      <c r="J23" s="157" t="s">
        <v>418</v>
      </c>
      <c r="K23" s="157"/>
      <c r="L23" s="162"/>
    </row>
    <row r="24" spans="1:12" x14ac:dyDescent="0.25">
      <c r="A24" s="171" t="s">
        <v>442</v>
      </c>
      <c r="B24" s="169" t="s">
        <v>419</v>
      </c>
      <c r="C24" s="169" t="s">
        <v>116</v>
      </c>
      <c r="D24" s="157" t="s">
        <v>394</v>
      </c>
      <c r="E24" s="157" t="s">
        <v>444</v>
      </c>
      <c r="F24" s="158">
        <v>52.2</v>
      </c>
      <c r="G24" s="159">
        <f t="shared" si="0"/>
        <v>6</v>
      </c>
      <c r="H24" s="159">
        <v>5</v>
      </c>
      <c r="I24" s="160">
        <f t="shared" si="1"/>
        <v>-1</v>
      </c>
      <c r="J24" s="157"/>
      <c r="K24" s="157"/>
      <c r="L24" s="162"/>
    </row>
    <row r="25" spans="1:12" x14ac:dyDescent="0.25">
      <c r="A25" s="171" t="s">
        <v>442</v>
      </c>
      <c r="B25" s="169" t="s">
        <v>437</v>
      </c>
      <c r="C25" s="169" t="s">
        <v>51</v>
      </c>
      <c r="D25" s="157" t="s">
        <v>393</v>
      </c>
      <c r="E25" s="157" t="s">
        <v>445</v>
      </c>
      <c r="F25" s="158">
        <v>69.400000000000006</v>
      </c>
      <c r="G25" s="159">
        <f t="shared" si="0"/>
        <v>7</v>
      </c>
      <c r="H25" s="159">
        <v>4</v>
      </c>
      <c r="I25" s="160">
        <f t="shared" si="1"/>
        <v>-3</v>
      </c>
      <c r="J25" s="157"/>
      <c r="K25" s="157"/>
      <c r="L25" s="162"/>
    </row>
    <row r="26" spans="1:12" x14ac:dyDescent="0.25">
      <c r="A26" s="171" t="s">
        <v>442</v>
      </c>
      <c r="B26" s="169" t="s">
        <v>433</v>
      </c>
      <c r="C26" s="169" t="s">
        <v>170</v>
      </c>
      <c r="D26" s="157" t="s">
        <v>392</v>
      </c>
      <c r="E26" s="157" t="s">
        <v>446</v>
      </c>
      <c r="F26" s="158">
        <v>81</v>
      </c>
      <c r="G26" s="159">
        <f t="shared" si="0"/>
        <v>9</v>
      </c>
      <c r="H26" s="159">
        <v>9</v>
      </c>
      <c r="I26" s="160">
        <f t="shared" si="1"/>
        <v>0</v>
      </c>
      <c r="J26" s="157"/>
      <c r="K26" s="157"/>
      <c r="L26" s="162"/>
    </row>
    <row r="27" spans="1:12" x14ac:dyDescent="0.25">
      <c r="A27" s="171" t="s">
        <v>442</v>
      </c>
      <c r="B27" s="169" t="s">
        <v>423</v>
      </c>
      <c r="C27" s="169" t="s">
        <v>123</v>
      </c>
      <c r="D27" s="157" t="s">
        <v>394</v>
      </c>
      <c r="E27" s="157" t="s">
        <v>445</v>
      </c>
      <c r="F27" s="158">
        <v>98.8</v>
      </c>
      <c r="G27" s="159">
        <f t="shared" si="0"/>
        <v>10</v>
      </c>
      <c r="H27" s="159">
        <v>14</v>
      </c>
      <c r="I27" s="160">
        <f t="shared" si="1"/>
        <v>4</v>
      </c>
      <c r="J27" s="157"/>
      <c r="K27" s="157"/>
      <c r="L27" s="162"/>
    </row>
    <row r="28" spans="1:12" x14ac:dyDescent="0.25">
      <c r="A28" s="171" t="s">
        <v>442</v>
      </c>
      <c r="B28" s="169" t="s">
        <v>435</v>
      </c>
      <c r="C28" s="169" t="s">
        <v>202</v>
      </c>
      <c r="D28" s="157" t="s">
        <v>392</v>
      </c>
      <c r="E28" s="157" t="s">
        <v>444</v>
      </c>
      <c r="F28" s="158">
        <v>100</v>
      </c>
      <c r="G28" s="159">
        <f t="shared" si="0"/>
        <v>10</v>
      </c>
      <c r="H28" s="159">
        <v>15</v>
      </c>
      <c r="I28" s="160">
        <f t="shared" si="1"/>
        <v>5</v>
      </c>
      <c r="J28" s="157"/>
      <c r="K28" s="157"/>
      <c r="L28" s="162"/>
    </row>
    <row r="29" spans="1:12" x14ac:dyDescent="0.25">
      <c r="A29" s="171" t="s">
        <v>442</v>
      </c>
      <c r="B29" s="169" t="s">
        <v>435</v>
      </c>
      <c r="C29" s="169" t="s">
        <v>205</v>
      </c>
      <c r="D29" s="157" t="s">
        <v>393</v>
      </c>
      <c r="E29" s="157" t="s">
        <v>447</v>
      </c>
      <c r="F29" s="158">
        <v>108.6</v>
      </c>
      <c r="G29" s="159">
        <f t="shared" si="0"/>
        <v>11</v>
      </c>
      <c r="H29" s="159">
        <v>15</v>
      </c>
      <c r="I29" s="160">
        <f t="shared" si="1"/>
        <v>4</v>
      </c>
      <c r="J29" s="157"/>
      <c r="K29" s="157"/>
      <c r="L29" s="162"/>
    </row>
    <row r="30" spans="1:12" x14ac:dyDescent="0.25">
      <c r="A30" s="171" t="s">
        <v>442</v>
      </c>
      <c r="B30" s="169" t="s">
        <v>431</v>
      </c>
      <c r="C30" s="169" t="s">
        <v>166</v>
      </c>
      <c r="D30" s="157" t="s">
        <v>394</v>
      </c>
      <c r="E30" s="157" t="s">
        <v>436</v>
      </c>
      <c r="F30" s="158">
        <v>120</v>
      </c>
      <c r="G30" s="159">
        <f t="shared" si="0"/>
        <v>12</v>
      </c>
      <c r="H30" s="159">
        <v>8</v>
      </c>
      <c r="I30" s="160">
        <f t="shared" si="1"/>
        <v>-4</v>
      </c>
      <c r="J30" s="157"/>
      <c r="K30" s="157"/>
      <c r="L30" s="162"/>
    </row>
    <row r="31" spans="1:12" x14ac:dyDescent="0.25">
      <c r="A31" s="171" t="s">
        <v>442</v>
      </c>
      <c r="B31" s="169" t="s">
        <v>448</v>
      </c>
      <c r="C31" s="169" t="s">
        <v>124</v>
      </c>
      <c r="D31" s="157" t="s">
        <v>395</v>
      </c>
      <c r="E31" s="157" t="s">
        <v>443</v>
      </c>
      <c r="F31" s="158">
        <v>128.6</v>
      </c>
      <c r="G31" s="159">
        <f t="shared" si="0"/>
        <v>13</v>
      </c>
      <c r="H31" s="159">
        <v>6</v>
      </c>
      <c r="I31" s="160">
        <f t="shared" si="1"/>
        <v>-7</v>
      </c>
      <c r="J31" s="157"/>
      <c r="K31" s="157"/>
      <c r="L31" s="162"/>
    </row>
    <row r="32" spans="1:12" x14ac:dyDescent="0.25">
      <c r="A32" s="171" t="s">
        <v>442</v>
      </c>
      <c r="B32" s="169" t="s">
        <v>435</v>
      </c>
      <c r="C32" s="169" t="s">
        <v>218</v>
      </c>
      <c r="D32" s="157" t="s">
        <v>397</v>
      </c>
      <c r="E32" s="157" t="s">
        <v>428</v>
      </c>
      <c r="F32" s="158">
        <v>131.69999999999999</v>
      </c>
      <c r="G32" s="159">
        <f t="shared" si="0"/>
        <v>14</v>
      </c>
      <c r="H32" s="159">
        <v>15</v>
      </c>
      <c r="I32" s="160">
        <f t="shared" si="1"/>
        <v>1</v>
      </c>
      <c r="J32" s="157"/>
      <c r="K32" s="157"/>
      <c r="L32" s="162"/>
    </row>
    <row r="33" spans="1:12" x14ac:dyDescent="0.25">
      <c r="A33" s="171" t="s">
        <v>442</v>
      </c>
      <c r="B33" s="169" t="s">
        <v>435</v>
      </c>
      <c r="C33" s="169" t="s">
        <v>211</v>
      </c>
      <c r="D33" s="157" t="s">
        <v>396</v>
      </c>
      <c r="E33" s="157" t="s">
        <v>449</v>
      </c>
      <c r="F33" s="158">
        <v>146.69999999999999</v>
      </c>
      <c r="G33" s="159">
        <f t="shared" si="0"/>
        <v>15</v>
      </c>
      <c r="H33" s="159">
        <v>15</v>
      </c>
      <c r="I33" s="160">
        <f t="shared" si="1"/>
        <v>0</v>
      </c>
      <c r="J33" s="157"/>
      <c r="K33" s="157"/>
      <c r="L33" s="162"/>
    </row>
    <row r="34" spans="1:12" ht="15.75" thickBot="1" x14ac:dyDescent="0.3">
      <c r="A34" s="171" t="s">
        <v>442</v>
      </c>
      <c r="B34" s="169" t="s">
        <v>435</v>
      </c>
      <c r="C34" s="169" t="s">
        <v>223</v>
      </c>
      <c r="D34" s="157" t="s">
        <v>397</v>
      </c>
      <c r="E34" s="157" t="s">
        <v>446</v>
      </c>
      <c r="F34" s="158">
        <v>160.80000000000001</v>
      </c>
      <c r="G34" s="159">
        <f t="shared" si="0"/>
        <v>17</v>
      </c>
      <c r="H34" s="159">
        <v>15</v>
      </c>
      <c r="I34" s="160">
        <f t="shared" si="1"/>
        <v>-2</v>
      </c>
      <c r="J34" s="157"/>
      <c r="K34" s="157"/>
      <c r="L34" s="162"/>
    </row>
    <row r="35" spans="1:12" x14ac:dyDescent="0.25">
      <c r="A35" s="172" t="s">
        <v>450</v>
      </c>
      <c r="B35" s="170" t="s">
        <v>416</v>
      </c>
      <c r="C35" s="170" t="s">
        <v>8</v>
      </c>
      <c r="D35" s="164" t="s">
        <v>394</v>
      </c>
      <c r="E35" s="164" t="s">
        <v>427</v>
      </c>
      <c r="F35" s="165">
        <v>12.5</v>
      </c>
      <c r="G35" s="166">
        <f t="shared" si="0"/>
        <v>2</v>
      </c>
      <c r="H35" s="166">
        <v>1</v>
      </c>
      <c r="I35" s="167">
        <f t="shared" si="1"/>
        <v>-1</v>
      </c>
      <c r="J35" s="164" t="s">
        <v>418</v>
      </c>
      <c r="K35" s="164"/>
      <c r="L35" s="168"/>
    </row>
    <row r="36" spans="1:12" x14ac:dyDescent="0.25">
      <c r="A36" s="171" t="s">
        <v>450</v>
      </c>
      <c r="B36" s="169" t="s">
        <v>421</v>
      </c>
      <c r="C36" s="169" t="s">
        <v>108</v>
      </c>
      <c r="D36" s="157" t="s">
        <v>394</v>
      </c>
      <c r="E36" s="157" t="s">
        <v>451</v>
      </c>
      <c r="F36" s="158">
        <v>48.5</v>
      </c>
      <c r="G36" s="159">
        <f t="shared" ref="G36:G67" si="2">IF($F36="","",ROUNDUP($F36/10,0))</f>
        <v>5</v>
      </c>
      <c r="H36" s="159">
        <v>2</v>
      </c>
      <c r="I36" s="160">
        <f t="shared" ref="I36:I67" si="3">IF($G36="","",$H36-$G36)</f>
        <v>-3</v>
      </c>
      <c r="J36" s="157" t="s">
        <v>418</v>
      </c>
      <c r="K36" s="157"/>
      <c r="L36" s="162"/>
    </row>
    <row r="37" spans="1:12" x14ac:dyDescent="0.25">
      <c r="A37" s="171" t="s">
        <v>450</v>
      </c>
      <c r="B37" s="169" t="s">
        <v>435</v>
      </c>
      <c r="C37" s="169" t="s">
        <v>66</v>
      </c>
      <c r="D37" s="157" t="s">
        <v>394</v>
      </c>
      <c r="E37" s="157" t="s">
        <v>452</v>
      </c>
      <c r="F37" s="158">
        <v>49.7</v>
      </c>
      <c r="G37" s="159">
        <f t="shared" si="2"/>
        <v>5</v>
      </c>
      <c r="H37" s="159">
        <v>15</v>
      </c>
      <c r="I37" s="160">
        <f t="shared" si="3"/>
        <v>10</v>
      </c>
      <c r="J37" s="157"/>
      <c r="K37" s="157"/>
      <c r="L37" s="162"/>
    </row>
    <row r="38" spans="1:12" x14ac:dyDescent="0.25">
      <c r="A38" s="171" t="s">
        <v>450</v>
      </c>
      <c r="B38" s="169" t="s">
        <v>435</v>
      </c>
      <c r="C38" s="169" t="s">
        <v>46</v>
      </c>
      <c r="D38" s="157" t="s">
        <v>394</v>
      </c>
      <c r="E38" s="157" t="s">
        <v>432</v>
      </c>
      <c r="F38" s="158">
        <v>54.6</v>
      </c>
      <c r="G38" s="159">
        <f t="shared" si="2"/>
        <v>6</v>
      </c>
      <c r="H38" s="159">
        <v>15</v>
      </c>
      <c r="I38" s="160">
        <f t="shared" si="3"/>
        <v>9</v>
      </c>
      <c r="J38" s="157"/>
      <c r="K38" s="157"/>
      <c r="L38" s="162"/>
    </row>
    <row r="39" spans="1:12" x14ac:dyDescent="0.25">
      <c r="A39" s="171" t="s">
        <v>450</v>
      </c>
      <c r="B39" s="169" t="s">
        <v>425</v>
      </c>
      <c r="C39" s="169" t="s">
        <v>152</v>
      </c>
      <c r="D39" s="157" t="s">
        <v>393</v>
      </c>
      <c r="E39" s="157" t="s">
        <v>449</v>
      </c>
      <c r="F39" s="158">
        <v>59.8</v>
      </c>
      <c r="G39" s="159">
        <f t="shared" si="2"/>
        <v>6</v>
      </c>
      <c r="H39" s="159">
        <v>3</v>
      </c>
      <c r="I39" s="160">
        <f t="shared" si="3"/>
        <v>-3</v>
      </c>
      <c r="J39" s="157"/>
      <c r="K39" s="157"/>
      <c r="L39" s="162"/>
    </row>
    <row r="40" spans="1:12" x14ac:dyDescent="0.25">
      <c r="A40" s="171" t="s">
        <v>450</v>
      </c>
      <c r="B40" s="169" t="s">
        <v>437</v>
      </c>
      <c r="C40" s="169" t="s">
        <v>111</v>
      </c>
      <c r="D40" s="157" t="s">
        <v>393</v>
      </c>
      <c r="E40" s="157" t="s">
        <v>432</v>
      </c>
      <c r="F40" s="158">
        <v>65.5</v>
      </c>
      <c r="G40" s="159">
        <f t="shared" si="2"/>
        <v>7</v>
      </c>
      <c r="H40" s="159">
        <v>4</v>
      </c>
      <c r="I40" s="160">
        <f t="shared" si="3"/>
        <v>-3</v>
      </c>
      <c r="J40" s="157"/>
      <c r="K40" s="157"/>
      <c r="L40" s="162"/>
    </row>
    <row r="41" spans="1:12" x14ac:dyDescent="0.25">
      <c r="A41" s="171" t="s">
        <v>450</v>
      </c>
      <c r="B41" s="169" t="s">
        <v>435</v>
      </c>
      <c r="C41" s="169" t="s">
        <v>126</v>
      </c>
      <c r="D41" s="157" t="s">
        <v>393</v>
      </c>
      <c r="E41" s="157" t="s">
        <v>432</v>
      </c>
      <c r="F41" s="158">
        <v>78.5</v>
      </c>
      <c r="G41" s="159">
        <f t="shared" si="2"/>
        <v>8</v>
      </c>
      <c r="H41" s="159">
        <v>15</v>
      </c>
      <c r="I41" s="160">
        <f t="shared" si="3"/>
        <v>7</v>
      </c>
      <c r="J41" s="157"/>
      <c r="K41" s="157"/>
      <c r="L41" s="162"/>
    </row>
    <row r="42" spans="1:12" x14ac:dyDescent="0.25">
      <c r="A42" s="171" t="s">
        <v>450</v>
      </c>
      <c r="B42" s="169" t="s">
        <v>419</v>
      </c>
      <c r="C42" s="169" t="s">
        <v>28</v>
      </c>
      <c r="D42" s="157" t="s">
        <v>392</v>
      </c>
      <c r="E42" s="157" t="s">
        <v>438</v>
      </c>
      <c r="F42" s="158">
        <v>82.6</v>
      </c>
      <c r="G42" s="159">
        <f t="shared" si="2"/>
        <v>9</v>
      </c>
      <c r="H42" s="159">
        <v>5</v>
      </c>
      <c r="I42" s="160">
        <f t="shared" si="3"/>
        <v>-4</v>
      </c>
      <c r="J42" s="157"/>
      <c r="K42" s="157"/>
      <c r="L42" s="162"/>
    </row>
    <row r="43" spans="1:12" x14ac:dyDescent="0.25">
      <c r="A43" s="171" t="s">
        <v>450</v>
      </c>
      <c r="B43" s="169" t="s">
        <v>435</v>
      </c>
      <c r="C43" s="169" t="s">
        <v>200</v>
      </c>
      <c r="D43" s="157" t="s">
        <v>392</v>
      </c>
      <c r="E43" s="157" t="s">
        <v>453</v>
      </c>
      <c r="F43" s="158">
        <v>83.7</v>
      </c>
      <c r="G43" s="159">
        <f t="shared" si="2"/>
        <v>9</v>
      </c>
      <c r="H43" s="159">
        <v>15</v>
      </c>
      <c r="I43" s="160">
        <f t="shared" si="3"/>
        <v>6</v>
      </c>
      <c r="J43" s="157"/>
      <c r="K43" s="157"/>
      <c r="L43" s="162"/>
    </row>
    <row r="44" spans="1:12" x14ac:dyDescent="0.25">
      <c r="A44" s="171" t="s">
        <v>450</v>
      </c>
      <c r="B44" s="169" t="s">
        <v>433</v>
      </c>
      <c r="C44" s="169" t="s">
        <v>91</v>
      </c>
      <c r="D44" s="157" t="s">
        <v>394</v>
      </c>
      <c r="E44" s="157" t="s">
        <v>454</v>
      </c>
      <c r="F44" s="158">
        <v>88.5</v>
      </c>
      <c r="G44" s="159">
        <f t="shared" si="2"/>
        <v>9</v>
      </c>
      <c r="H44" s="159">
        <v>9</v>
      </c>
      <c r="I44" s="160">
        <f t="shared" si="3"/>
        <v>0</v>
      </c>
      <c r="J44" s="157"/>
      <c r="K44" s="157"/>
      <c r="L44" s="162"/>
    </row>
    <row r="45" spans="1:12" x14ac:dyDescent="0.25">
      <c r="A45" s="171" t="s">
        <v>450</v>
      </c>
      <c r="B45" s="169" t="s">
        <v>429</v>
      </c>
      <c r="C45" s="169" t="s">
        <v>36</v>
      </c>
      <c r="D45" s="157" t="s">
        <v>395</v>
      </c>
      <c r="E45" s="157" t="s">
        <v>438</v>
      </c>
      <c r="F45" s="158">
        <v>96.4</v>
      </c>
      <c r="G45" s="159">
        <f t="shared" si="2"/>
        <v>10</v>
      </c>
      <c r="H45" s="159">
        <v>13</v>
      </c>
      <c r="I45" s="160">
        <f t="shared" si="3"/>
        <v>3</v>
      </c>
      <c r="J45" s="157" t="s">
        <v>418</v>
      </c>
      <c r="K45" s="157"/>
      <c r="L45" s="162"/>
    </row>
    <row r="46" spans="1:12" x14ac:dyDescent="0.25">
      <c r="A46" s="171" t="s">
        <v>450</v>
      </c>
      <c r="B46" s="169" t="s">
        <v>435</v>
      </c>
      <c r="C46" s="169" t="s">
        <v>228</v>
      </c>
      <c r="D46" s="157" t="s">
        <v>397</v>
      </c>
      <c r="E46" s="157" t="s">
        <v>449</v>
      </c>
      <c r="F46" s="158">
        <v>107.8</v>
      </c>
      <c r="G46" s="159">
        <f t="shared" si="2"/>
        <v>11</v>
      </c>
      <c r="H46" s="159">
        <v>15</v>
      </c>
      <c r="I46" s="160">
        <f t="shared" si="3"/>
        <v>4</v>
      </c>
      <c r="J46" s="157"/>
      <c r="K46" s="157"/>
      <c r="L46" s="162"/>
    </row>
    <row r="47" spans="1:12" x14ac:dyDescent="0.25">
      <c r="A47" s="171" t="s">
        <v>450</v>
      </c>
      <c r="B47" s="169" t="s">
        <v>455</v>
      </c>
      <c r="C47" s="169" t="s">
        <v>176</v>
      </c>
      <c r="D47" s="157" t="s">
        <v>396</v>
      </c>
      <c r="E47" s="157" t="s">
        <v>438</v>
      </c>
      <c r="F47" s="158">
        <v>164.5</v>
      </c>
      <c r="G47" s="159">
        <f t="shared" si="2"/>
        <v>17</v>
      </c>
      <c r="H47" s="159">
        <v>11</v>
      </c>
      <c r="I47" s="160">
        <f t="shared" si="3"/>
        <v>-6</v>
      </c>
      <c r="J47" s="157"/>
      <c r="K47" s="157"/>
      <c r="L47" s="162"/>
    </row>
    <row r="48" spans="1:12" x14ac:dyDescent="0.25">
      <c r="A48" s="171" t="s">
        <v>450</v>
      </c>
      <c r="B48" s="169" t="s">
        <v>435</v>
      </c>
      <c r="C48" s="169" t="s">
        <v>221</v>
      </c>
      <c r="D48" s="157" t="s">
        <v>394</v>
      </c>
      <c r="E48" s="157" t="s">
        <v>456</v>
      </c>
      <c r="F48" s="158">
        <v>182.7</v>
      </c>
      <c r="G48" s="159">
        <f t="shared" si="2"/>
        <v>19</v>
      </c>
      <c r="H48" s="159">
        <v>15</v>
      </c>
      <c r="I48" s="160">
        <f t="shared" si="3"/>
        <v>-4</v>
      </c>
      <c r="J48" s="157"/>
      <c r="K48" s="157"/>
      <c r="L48" s="162"/>
    </row>
    <row r="49" spans="1:12" x14ac:dyDescent="0.25">
      <c r="A49" s="171" t="s">
        <v>450</v>
      </c>
      <c r="B49" s="169" t="s">
        <v>448</v>
      </c>
      <c r="C49" s="169" t="s">
        <v>17</v>
      </c>
      <c r="D49" s="157" t="s">
        <v>394</v>
      </c>
      <c r="E49" s="157" t="s">
        <v>449</v>
      </c>
      <c r="F49" s="158"/>
      <c r="G49" s="159" t="str">
        <f t="shared" si="2"/>
        <v/>
      </c>
      <c r="H49" s="159">
        <v>6</v>
      </c>
      <c r="I49" s="160" t="str">
        <f t="shared" si="3"/>
        <v/>
      </c>
      <c r="J49" s="157"/>
      <c r="K49" s="157" t="s">
        <v>479</v>
      </c>
      <c r="L49" s="162" t="s">
        <v>483</v>
      </c>
    </row>
    <row r="50" spans="1:12" ht="15.75" thickBot="1" x14ac:dyDescent="0.3">
      <c r="A50" s="171" t="s">
        <v>450</v>
      </c>
      <c r="B50" s="169" t="s">
        <v>435</v>
      </c>
      <c r="C50" s="169" t="s">
        <v>216</v>
      </c>
      <c r="D50" s="157" t="s">
        <v>393</v>
      </c>
      <c r="E50" s="157" t="s">
        <v>446</v>
      </c>
      <c r="F50" s="158"/>
      <c r="G50" s="159" t="str">
        <f t="shared" si="2"/>
        <v/>
      </c>
      <c r="H50" s="159">
        <v>15</v>
      </c>
      <c r="I50" s="160" t="str">
        <f t="shared" si="3"/>
        <v/>
      </c>
      <c r="J50" s="157"/>
      <c r="K50" s="157"/>
      <c r="L50" s="162" t="s">
        <v>483</v>
      </c>
    </row>
    <row r="51" spans="1:12" x14ac:dyDescent="0.25">
      <c r="A51" s="172" t="s">
        <v>457</v>
      </c>
      <c r="B51" s="170" t="s">
        <v>426</v>
      </c>
      <c r="C51" s="170" t="s">
        <v>94</v>
      </c>
      <c r="D51" s="164" t="s">
        <v>394</v>
      </c>
      <c r="E51" s="164" t="s">
        <v>424</v>
      </c>
      <c r="F51" s="165">
        <v>2.9</v>
      </c>
      <c r="G51" s="166">
        <f t="shared" si="2"/>
        <v>1</v>
      </c>
      <c r="H51" s="166">
        <v>15</v>
      </c>
      <c r="I51" s="167">
        <f t="shared" si="3"/>
        <v>14</v>
      </c>
      <c r="J51" s="164" t="s">
        <v>418</v>
      </c>
      <c r="K51" s="164"/>
      <c r="L51" s="168"/>
    </row>
    <row r="52" spans="1:12" x14ac:dyDescent="0.25">
      <c r="A52" s="171" t="s">
        <v>457</v>
      </c>
      <c r="B52" s="169" t="s">
        <v>419</v>
      </c>
      <c r="C52" s="169" t="s">
        <v>58</v>
      </c>
      <c r="D52" s="157" t="s">
        <v>394</v>
      </c>
      <c r="E52" s="157" t="s">
        <v>428</v>
      </c>
      <c r="F52" s="158">
        <v>8.1999999999999993</v>
      </c>
      <c r="G52" s="159">
        <f t="shared" si="2"/>
        <v>1</v>
      </c>
      <c r="H52" s="159">
        <v>5</v>
      </c>
      <c r="I52" s="160">
        <f t="shared" si="3"/>
        <v>4</v>
      </c>
      <c r="J52" s="157" t="s">
        <v>418</v>
      </c>
      <c r="K52" s="157"/>
      <c r="L52" s="162"/>
    </row>
    <row r="53" spans="1:12" x14ac:dyDescent="0.25">
      <c r="A53" s="171" t="s">
        <v>457</v>
      </c>
      <c r="B53" s="169" t="s">
        <v>421</v>
      </c>
      <c r="C53" s="169" t="s">
        <v>62</v>
      </c>
      <c r="D53" s="157" t="s">
        <v>393</v>
      </c>
      <c r="E53" s="157" t="s">
        <v>458</v>
      </c>
      <c r="F53" s="158">
        <v>30.4</v>
      </c>
      <c r="G53" s="159">
        <f t="shared" si="2"/>
        <v>4</v>
      </c>
      <c r="H53" s="159">
        <v>2</v>
      </c>
      <c r="I53" s="160">
        <f t="shared" si="3"/>
        <v>-2</v>
      </c>
      <c r="J53" s="157" t="s">
        <v>418</v>
      </c>
      <c r="K53" s="157"/>
      <c r="L53" s="162"/>
    </row>
    <row r="54" spans="1:12" x14ac:dyDescent="0.25">
      <c r="A54" s="171" t="s">
        <v>457</v>
      </c>
      <c r="B54" s="169" t="s">
        <v>416</v>
      </c>
      <c r="C54" s="169" t="s">
        <v>114</v>
      </c>
      <c r="D54" s="157" t="s">
        <v>394</v>
      </c>
      <c r="E54" s="157" t="s">
        <v>446</v>
      </c>
      <c r="F54" s="158">
        <v>36</v>
      </c>
      <c r="G54" s="159">
        <f t="shared" si="2"/>
        <v>4</v>
      </c>
      <c r="H54" s="159">
        <v>1</v>
      </c>
      <c r="I54" s="160">
        <f t="shared" si="3"/>
        <v>-3</v>
      </c>
      <c r="J54" s="157"/>
      <c r="K54" s="157"/>
      <c r="L54" s="162"/>
    </row>
    <row r="55" spans="1:12" x14ac:dyDescent="0.25">
      <c r="A55" s="171" t="s">
        <v>457</v>
      </c>
      <c r="B55" s="169" t="s">
        <v>439</v>
      </c>
      <c r="C55" s="169" t="s">
        <v>197</v>
      </c>
      <c r="D55" s="157" t="s">
        <v>393</v>
      </c>
      <c r="E55" s="157" t="s">
        <v>441</v>
      </c>
      <c r="F55" s="158">
        <v>37.5</v>
      </c>
      <c r="G55" s="159">
        <f t="shared" si="2"/>
        <v>4</v>
      </c>
      <c r="H55" s="159">
        <v>7</v>
      </c>
      <c r="I55" s="160">
        <f t="shared" si="3"/>
        <v>3</v>
      </c>
      <c r="J55" s="157"/>
      <c r="K55" s="157"/>
      <c r="L55" s="162"/>
    </row>
    <row r="56" spans="1:12" x14ac:dyDescent="0.25">
      <c r="A56" s="171" t="s">
        <v>457</v>
      </c>
      <c r="B56" s="169" t="s">
        <v>423</v>
      </c>
      <c r="C56" s="169" t="s">
        <v>38</v>
      </c>
      <c r="D56" s="157" t="s">
        <v>392</v>
      </c>
      <c r="E56" s="157" t="s">
        <v>420</v>
      </c>
      <c r="F56" s="158">
        <v>54.6</v>
      </c>
      <c r="G56" s="159">
        <f t="shared" si="2"/>
        <v>6</v>
      </c>
      <c r="H56" s="159">
        <v>14</v>
      </c>
      <c r="I56" s="160">
        <f t="shared" si="3"/>
        <v>8</v>
      </c>
      <c r="J56" s="157" t="s">
        <v>418</v>
      </c>
      <c r="K56" s="157"/>
      <c r="L56" s="162"/>
    </row>
    <row r="57" spans="1:12" x14ac:dyDescent="0.25">
      <c r="A57" s="171" t="s">
        <v>457</v>
      </c>
      <c r="B57" s="169" t="s">
        <v>435</v>
      </c>
      <c r="C57" s="169" t="s">
        <v>186</v>
      </c>
      <c r="D57" s="157" t="s">
        <v>392</v>
      </c>
      <c r="E57" s="157" t="s">
        <v>427</v>
      </c>
      <c r="F57" s="158">
        <v>58.5</v>
      </c>
      <c r="G57" s="159">
        <f t="shared" si="2"/>
        <v>6</v>
      </c>
      <c r="H57" s="159">
        <v>15</v>
      </c>
      <c r="I57" s="160">
        <f t="shared" si="3"/>
        <v>9</v>
      </c>
      <c r="J57" s="157"/>
      <c r="K57" s="157"/>
      <c r="L57" s="162"/>
    </row>
    <row r="58" spans="1:12" x14ac:dyDescent="0.25">
      <c r="A58" s="171" t="s">
        <v>457</v>
      </c>
      <c r="B58" s="169" t="s">
        <v>459</v>
      </c>
      <c r="C58" s="169" t="s">
        <v>121</v>
      </c>
      <c r="D58" s="157" t="s">
        <v>394</v>
      </c>
      <c r="E58" s="157" t="s">
        <v>422</v>
      </c>
      <c r="F58" s="158">
        <v>105.8</v>
      </c>
      <c r="G58" s="159">
        <f t="shared" si="2"/>
        <v>11</v>
      </c>
      <c r="H58" s="159">
        <v>10</v>
      </c>
      <c r="I58" s="160">
        <f t="shared" si="3"/>
        <v>-1</v>
      </c>
      <c r="J58" s="157"/>
      <c r="K58" s="157"/>
      <c r="L58" s="162"/>
    </row>
    <row r="59" spans="1:12" x14ac:dyDescent="0.25">
      <c r="A59" s="171" t="s">
        <v>457</v>
      </c>
      <c r="B59" s="169" t="s">
        <v>431</v>
      </c>
      <c r="C59" s="169" t="s">
        <v>167</v>
      </c>
      <c r="D59" s="157" t="s">
        <v>393</v>
      </c>
      <c r="E59" s="157" t="s">
        <v>454</v>
      </c>
      <c r="F59" s="158">
        <v>120.1</v>
      </c>
      <c r="G59" s="159">
        <f t="shared" si="2"/>
        <v>13</v>
      </c>
      <c r="H59" s="159">
        <v>8</v>
      </c>
      <c r="I59" s="160">
        <f t="shared" si="3"/>
        <v>-5</v>
      </c>
      <c r="J59" s="157"/>
      <c r="K59" s="157"/>
      <c r="L59" s="162"/>
    </row>
    <row r="60" spans="1:12" x14ac:dyDescent="0.25">
      <c r="A60" s="171" t="s">
        <v>457</v>
      </c>
      <c r="B60" s="169" t="s">
        <v>435</v>
      </c>
      <c r="C60" s="169" t="s">
        <v>87</v>
      </c>
      <c r="D60" s="157" t="s">
        <v>395</v>
      </c>
      <c r="E60" s="157" t="s">
        <v>427</v>
      </c>
      <c r="F60" s="158">
        <v>126.3</v>
      </c>
      <c r="G60" s="159">
        <f t="shared" si="2"/>
        <v>13</v>
      </c>
      <c r="H60" s="159">
        <v>15</v>
      </c>
      <c r="I60" s="160">
        <f t="shared" si="3"/>
        <v>2</v>
      </c>
      <c r="J60" s="157"/>
      <c r="K60" s="157"/>
      <c r="L60" s="162"/>
    </row>
    <row r="61" spans="1:12" x14ac:dyDescent="0.25">
      <c r="A61" s="171" t="s">
        <v>457</v>
      </c>
      <c r="B61" s="169" t="s">
        <v>433</v>
      </c>
      <c r="C61" s="169" t="s">
        <v>144</v>
      </c>
      <c r="D61" s="157" t="s">
        <v>394</v>
      </c>
      <c r="E61" s="157" t="s">
        <v>454</v>
      </c>
      <c r="F61" s="158">
        <v>130.69999999999999</v>
      </c>
      <c r="G61" s="159">
        <f t="shared" si="2"/>
        <v>14</v>
      </c>
      <c r="H61" s="159">
        <v>9</v>
      </c>
      <c r="I61" s="160">
        <f t="shared" si="3"/>
        <v>-5</v>
      </c>
      <c r="J61" s="157"/>
      <c r="K61" s="157"/>
      <c r="L61" s="162"/>
    </row>
    <row r="62" spans="1:12" x14ac:dyDescent="0.25">
      <c r="A62" s="171" t="s">
        <v>457</v>
      </c>
      <c r="B62" s="169" t="s">
        <v>448</v>
      </c>
      <c r="C62" s="169" t="s">
        <v>125</v>
      </c>
      <c r="D62" s="157" t="s">
        <v>395</v>
      </c>
      <c r="E62" s="157" t="s">
        <v>454</v>
      </c>
      <c r="F62" s="158">
        <v>147.80000000000001</v>
      </c>
      <c r="G62" s="159">
        <f t="shared" si="2"/>
        <v>15</v>
      </c>
      <c r="H62" s="159">
        <v>6</v>
      </c>
      <c r="I62" s="160">
        <f t="shared" si="3"/>
        <v>-9</v>
      </c>
      <c r="J62" s="157"/>
      <c r="K62" s="157"/>
      <c r="L62" s="162"/>
    </row>
    <row r="63" spans="1:12" x14ac:dyDescent="0.25">
      <c r="A63" s="171" t="s">
        <v>457</v>
      </c>
      <c r="B63" s="169" t="s">
        <v>425</v>
      </c>
      <c r="C63" s="169" t="s">
        <v>39</v>
      </c>
      <c r="D63" s="157" t="s">
        <v>393</v>
      </c>
      <c r="E63" s="157" t="s">
        <v>441</v>
      </c>
      <c r="F63" s="158">
        <v>151.9</v>
      </c>
      <c r="G63" s="159">
        <f t="shared" si="2"/>
        <v>16</v>
      </c>
      <c r="H63" s="159">
        <v>3</v>
      </c>
      <c r="I63" s="160">
        <f t="shared" si="3"/>
        <v>-13</v>
      </c>
      <c r="J63" s="157"/>
      <c r="K63" s="157"/>
      <c r="L63" s="162"/>
    </row>
    <row r="64" spans="1:12" ht="15.75" thickBot="1" x14ac:dyDescent="0.3">
      <c r="A64" s="171" t="s">
        <v>457</v>
      </c>
      <c r="B64" s="169" t="s">
        <v>435</v>
      </c>
      <c r="C64" s="169" t="s">
        <v>137</v>
      </c>
      <c r="D64" s="157" t="s">
        <v>396</v>
      </c>
      <c r="E64" s="157" t="s">
        <v>443</v>
      </c>
      <c r="F64" s="158"/>
      <c r="G64" s="159" t="str">
        <f t="shared" si="2"/>
        <v/>
      </c>
      <c r="H64" s="159">
        <v>15</v>
      </c>
      <c r="I64" s="160" t="str">
        <f t="shared" si="3"/>
        <v/>
      </c>
      <c r="J64" s="157"/>
      <c r="K64" s="157"/>
      <c r="L64" s="162" t="s">
        <v>483</v>
      </c>
    </row>
    <row r="65" spans="1:12" x14ac:dyDescent="0.25">
      <c r="A65" s="172" t="s">
        <v>460</v>
      </c>
      <c r="B65" s="170" t="s">
        <v>421</v>
      </c>
      <c r="C65" s="170" t="s">
        <v>89</v>
      </c>
      <c r="D65" s="164" t="s">
        <v>394</v>
      </c>
      <c r="E65" s="164" t="s">
        <v>436</v>
      </c>
      <c r="F65" s="165">
        <v>7.1</v>
      </c>
      <c r="G65" s="166">
        <f t="shared" si="2"/>
        <v>1</v>
      </c>
      <c r="H65" s="166">
        <v>2</v>
      </c>
      <c r="I65" s="167">
        <f t="shared" si="3"/>
        <v>1</v>
      </c>
      <c r="J65" s="164"/>
      <c r="K65" s="164"/>
      <c r="L65" s="168"/>
    </row>
    <row r="66" spans="1:12" x14ac:dyDescent="0.25">
      <c r="A66" s="171" t="s">
        <v>460</v>
      </c>
      <c r="B66" s="169" t="s">
        <v>416</v>
      </c>
      <c r="C66" s="169" t="s">
        <v>150</v>
      </c>
      <c r="D66" s="157" t="s">
        <v>393</v>
      </c>
      <c r="E66" s="157" t="s">
        <v>422</v>
      </c>
      <c r="F66" s="158">
        <v>10.3</v>
      </c>
      <c r="G66" s="159">
        <f t="shared" si="2"/>
        <v>2</v>
      </c>
      <c r="H66" s="159">
        <v>1</v>
      </c>
      <c r="I66" s="160">
        <f t="shared" si="3"/>
        <v>-1</v>
      </c>
      <c r="J66" s="157"/>
      <c r="K66" s="157"/>
      <c r="L66" s="162"/>
    </row>
    <row r="67" spans="1:12" x14ac:dyDescent="0.25">
      <c r="A67" s="171" t="s">
        <v>460</v>
      </c>
      <c r="B67" s="169" t="s">
        <v>426</v>
      </c>
      <c r="C67" s="169" t="s">
        <v>120</v>
      </c>
      <c r="D67" s="157" t="s">
        <v>393</v>
      </c>
      <c r="E67" s="157" t="s">
        <v>461</v>
      </c>
      <c r="F67" s="158">
        <v>20.100000000000001</v>
      </c>
      <c r="G67" s="159">
        <f t="shared" si="2"/>
        <v>3</v>
      </c>
      <c r="H67" s="159">
        <v>15</v>
      </c>
      <c r="I67" s="160">
        <f t="shared" si="3"/>
        <v>12</v>
      </c>
      <c r="J67" s="157" t="s">
        <v>418</v>
      </c>
      <c r="K67" s="157"/>
      <c r="L67" s="162"/>
    </row>
    <row r="68" spans="1:12" x14ac:dyDescent="0.25">
      <c r="A68" s="171" t="s">
        <v>460</v>
      </c>
      <c r="B68" s="169" t="s">
        <v>423</v>
      </c>
      <c r="C68" s="169" t="s">
        <v>84</v>
      </c>
      <c r="D68" s="157" t="s">
        <v>395</v>
      </c>
      <c r="E68" s="157" t="s">
        <v>462</v>
      </c>
      <c r="F68" s="158">
        <v>37.5</v>
      </c>
      <c r="G68" s="159">
        <f t="shared" ref="G68:G99" si="4">IF($F68="","",ROUNDUP($F68/10,0))</f>
        <v>4</v>
      </c>
      <c r="H68" s="159">
        <v>14</v>
      </c>
      <c r="I68" s="160">
        <f t="shared" ref="I68:I99" si="5">IF($G68="","",$H68-$G68)</f>
        <v>10</v>
      </c>
      <c r="J68" s="157" t="s">
        <v>418</v>
      </c>
      <c r="K68" s="157"/>
      <c r="L68" s="162"/>
    </row>
    <row r="69" spans="1:12" x14ac:dyDescent="0.25">
      <c r="A69" s="171" t="s">
        <v>460</v>
      </c>
      <c r="B69" s="169" t="s">
        <v>437</v>
      </c>
      <c r="C69" s="169" t="s">
        <v>156</v>
      </c>
      <c r="D69" s="157" t="s">
        <v>394</v>
      </c>
      <c r="E69" s="157" t="s">
        <v>447</v>
      </c>
      <c r="F69" s="158">
        <v>44.5</v>
      </c>
      <c r="G69" s="159">
        <f t="shared" si="4"/>
        <v>5</v>
      </c>
      <c r="H69" s="159">
        <v>4</v>
      </c>
      <c r="I69" s="160">
        <f t="shared" si="5"/>
        <v>-1</v>
      </c>
      <c r="J69" s="157"/>
      <c r="K69" s="157"/>
      <c r="L69" s="162"/>
    </row>
    <row r="70" spans="1:12" x14ac:dyDescent="0.25">
      <c r="A70" s="171" t="s">
        <v>460</v>
      </c>
      <c r="B70" s="169" t="s">
        <v>429</v>
      </c>
      <c r="C70" s="169" t="s">
        <v>189</v>
      </c>
      <c r="D70" s="157" t="s">
        <v>393</v>
      </c>
      <c r="E70" s="157" t="s">
        <v>463</v>
      </c>
      <c r="F70" s="158">
        <v>47.7</v>
      </c>
      <c r="G70" s="159">
        <f t="shared" si="4"/>
        <v>5</v>
      </c>
      <c r="H70" s="159">
        <v>13</v>
      </c>
      <c r="I70" s="160">
        <f t="shared" si="5"/>
        <v>8</v>
      </c>
      <c r="J70" s="157"/>
      <c r="K70" s="157"/>
      <c r="L70" s="162"/>
    </row>
    <row r="71" spans="1:12" x14ac:dyDescent="0.25">
      <c r="A71" s="171" t="s">
        <v>460</v>
      </c>
      <c r="B71" s="169" t="s">
        <v>435</v>
      </c>
      <c r="C71" s="169" t="s">
        <v>175</v>
      </c>
      <c r="D71" s="157" t="s">
        <v>393</v>
      </c>
      <c r="E71" s="157" t="s">
        <v>453</v>
      </c>
      <c r="F71" s="158">
        <v>57</v>
      </c>
      <c r="G71" s="159">
        <f t="shared" si="4"/>
        <v>6</v>
      </c>
      <c r="H71" s="159">
        <v>15</v>
      </c>
      <c r="I71" s="160">
        <f t="shared" si="5"/>
        <v>9</v>
      </c>
      <c r="J71" s="157"/>
      <c r="K71" s="157"/>
      <c r="L71" s="162"/>
    </row>
    <row r="72" spans="1:12" x14ac:dyDescent="0.25">
      <c r="A72" s="171" t="s">
        <v>460</v>
      </c>
      <c r="B72" s="169" t="s">
        <v>439</v>
      </c>
      <c r="C72" s="169" t="s">
        <v>110</v>
      </c>
      <c r="D72" s="157" t="s">
        <v>394</v>
      </c>
      <c r="E72" s="157" t="s">
        <v>453</v>
      </c>
      <c r="F72" s="158">
        <v>74.599999999999994</v>
      </c>
      <c r="G72" s="159">
        <f t="shared" si="4"/>
        <v>8</v>
      </c>
      <c r="H72" s="159">
        <v>7</v>
      </c>
      <c r="I72" s="160">
        <f t="shared" si="5"/>
        <v>-1</v>
      </c>
      <c r="J72" s="157" t="s">
        <v>418</v>
      </c>
      <c r="K72" s="157"/>
      <c r="L72" s="162"/>
    </row>
    <row r="73" spans="1:12" x14ac:dyDescent="0.25">
      <c r="A73" s="171" t="s">
        <v>460</v>
      </c>
      <c r="B73" s="169" t="s">
        <v>435</v>
      </c>
      <c r="C73" s="169" t="s">
        <v>213</v>
      </c>
      <c r="D73" s="157" t="s">
        <v>395</v>
      </c>
      <c r="E73" s="157" t="s">
        <v>463</v>
      </c>
      <c r="F73" s="158">
        <v>79.599999999999994</v>
      </c>
      <c r="G73" s="159">
        <f t="shared" si="4"/>
        <v>8</v>
      </c>
      <c r="H73" s="159">
        <v>15</v>
      </c>
      <c r="I73" s="160">
        <f t="shared" si="5"/>
        <v>7</v>
      </c>
      <c r="J73" s="157"/>
      <c r="K73" s="157"/>
      <c r="L73" s="162"/>
    </row>
    <row r="74" spans="1:12" x14ac:dyDescent="0.25">
      <c r="A74" s="171" t="s">
        <v>460</v>
      </c>
      <c r="B74" s="169" t="s">
        <v>435</v>
      </c>
      <c r="C74" s="169" t="s">
        <v>119</v>
      </c>
      <c r="D74" s="157" t="s">
        <v>392</v>
      </c>
      <c r="E74" s="157" t="s">
        <v>464</v>
      </c>
      <c r="F74" s="158">
        <v>80.599999999999994</v>
      </c>
      <c r="G74" s="159">
        <f t="shared" si="4"/>
        <v>9</v>
      </c>
      <c r="H74" s="159">
        <v>15</v>
      </c>
      <c r="I74" s="160">
        <f t="shared" si="5"/>
        <v>6</v>
      </c>
      <c r="J74" s="157"/>
      <c r="K74" s="157"/>
      <c r="L74" s="162"/>
    </row>
    <row r="75" spans="1:12" x14ac:dyDescent="0.25">
      <c r="A75" s="171" t="s">
        <v>460</v>
      </c>
      <c r="B75" s="169" t="s">
        <v>431</v>
      </c>
      <c r="C75" s="169" t="s">
        <v>52</v>
      </c>
      <c r="D75" s="157" t="s">
        <v>392</v>
      </c>
      <c r="E75" s="157" t="s">
        <v>443</v>
      </c>
      <c r="F75" s="158">
        <v>93.9</v>
      </c>
      <c r="G75" s="159">
        <f t="shared" si="4"/>
        <v>10</v>
      </c>
      <c r="H75" s="159">
        <v>8</v>
      </c>
      <c r="I75" s="160">
        <f t="shared" si="5"/>
        <v>-2</v>
      </c>
      <c r="J75" s="157" t="s">
        <v>418</v>
      </c>
      <c r="K75" s="157"/>
      <c r="L75" s="162"/>
    </row>
    <row r="76" spans="1:12" x14ac:dyDescent="0.25">
      <c r="A76" s="171" t="s">
        <v>460</v>
      </c>
      <c r="B76" s="169" t="s">
        <v>435</v>
      </c>
      <c r="C76" s="169" t="s">
        <v>154</v>
      </c>
      <c r="D76" s="157" t="s">
        <v>393</v>
      </c>
      <c r="E76" s="157" t="s">
        <v>456</v>
      </c>
      <c r="F76" s="158">
        <v>97.6</v>
      </c>
      <c r="G76" s="159">
        <f t="shared" si="4"/>
        <v>10</v>
      </c>
      <c r="H76" s="159">
        <v>15</v>
      </c>
      <c r="I76" s="160">
        <f t="shared" si="5"/>
        <v>5</v>
      </c>
      <c r="J76" s="157"/>
      <c r="K76" s="157"/>
      <c r="L76" s="162"/>
    </row>
    <row r="77" spans="1:12" x14ac:dyDescent="0.25">
      <c r="A77" s="171" t="s">
        <v>460</v>
      </c>
      <c r="B77" s="169" t="s">
        <v>448</v>
      </c>
      <c r="C77" s="169" t="s">
        <v>160</v>
      </c>
      <c r="D77" s="157" t="s">
        <v>394</v>
      </c>
      <c r="E77" s="157" t="s">
        <v>452</v>
      </c>
      <c r="F77" s="158">
        <v>98.6</v>
      </c>
      <c r="G77" s="159">
        <f t="shared" si="4"/>
        <v>10</v>
      </c>
      <c r="H77" s="159">
        <v>6</v>
      </c>
      <c r="I77" s="160">
        <f t="shared" si="5"/>
        <v>-4</v>
      </c>
      <c r="J77" s="157"/>
      <c r="K77" s="157"/>
      <c r="L77" s="162"/>
    </row>
    <row r="78" spans="1:12" x14ac:dyDescent="0.25">
      <c r="A78" s="171" t="s">
        <v>460</v>
      </c>
      <c r="B78" s="169" t="s">
        <v>435</v>
      </c>
      <c r="C78" s="169" t="s">
        <v>207</v>
      </c>
      <c r="D78" s="157" t="s">
        <v>393</v>
      </c>
      <c r="E78" s="157" t="s">
        <v>444</v>
      </c>
      <c r="F78" s="158">
        <v>98.8</v>
      </c>
      <c r="G78" s="159">
        <f t="shared" si="4"/>
        <v>10</v>
      </c>
      <c r="H78" s="159">
        <v>15</v>
      </c>
      <c r="I78" s="160">
        <f t="shared" si="5"/>
        <v>5</v>
      </c>
      <c r="J78" s="157"/>
      <c r="K78" s="157"/>
      <c r="L78" s="162"/>
    </row>
    <row r="79" spans="1:12" x14ac:dyDescent="0.25">
      <c r="A79" s="171" t="s">
        <v>460</v>
      </c>
      <c r="B79" s="169" t="s">
        <v>435</v>
      </c>
      <c r="C79" s="169" t="s">
        <v>220</v>
      </c>
      <c r="D79" s="157" t="s">
        <v>392</v>
      </c>
      <c r="E79" s="157" t="s">
        <v>451</v>
      </c>
      <c r="F79" s="158">
        <v>121.2</v>
      </c>
      <c r="G79" s="159">
        <f t="shared" si="4"/>
        <v>13</v>
      </c>
      <c r="H79" s="159">
        <v>15</v>
      </c>
      <c r="I79" s="160">
        <f t="shared" si="5"/>
        <v>2</v>
      </c>
      <c r="J79" s="157"/>
      <c r="K79" s="157"/>
      <c r="L79" s="162"/>
    </row>
    <row r="80" spans="1:12" x14ac:dyDescent="0.25">
      <c r="A80" s="171" t="s">
        <v>460</v>
      </c>
      <c r="B80" s="169" t="s">
        <v>435</v>
      </c>
      <c r="C80" s="169" t="s">
        <v>225</v>
      </c>
      <c r="D80" s="157" t="s">
        <v>394</v>
      </c>
      <c r="E80" s="157" t="s">
        <v>428</v>
      </c>
      <c r="F80" s="158">
        <v>155.4</v>
      </c>
      <c r="G80" s="159">
        <f t="shared" si="4"/>
        <v>16</v>
      </c>
      <c r="H80" s="159">
        <v>15</v>
      </c>
      <c r="I80" s="160">
        <f t="shared" si="5"/>
        <v>-1</v>
      </c>
      <c r="J80" s="157"/>
      <c r="K80" s="157"/>
      <c r="L80" s="162"/>
    </row>
    <row r="81" spans="1:12" ht="15.75" thickBot="1" x14ac:dyDescent="0.3">
      <c r="A81" s="171" t="s">
        <v>460</v>
      </c>
      <c r="B81" s="169" t="s">
        <v>433</v>
      </c>
      <c r="C81" s="169" t="s">
        <v>130</v>
      </c>
      <c r="D81" s="157" t="s">
        <v>393</v>
      </c>
      <c r="E81" s="157" t="s">
        <v>458</v>
      </c>
      <c r="F81" s="158"/>
      <c r="G81" s="159" t="str">
        <f t="shared" si="4"/>
        <v/>
      </c>
      <c r="H81" s="159">
        <v>9</v>
      </c>
      <c r="I81" s="160" t="str">
        <f t="shared" si="5"/>
        <v/>
      </c>
      <c r="J81" s="157"/>
      <c r="K81" s="157"/>
      <c r="L81" s="162" t="s">
        <v>484</v>
      </c>
    </row>
    <row r="82" spans="1:12" x14ac:dyDescent="0.25">
      <c r="A82" s="172" t="s">
        <v>465</v>
      </c>
      <c r="B82" s="170" t="s">
        <v>416</v>
      </c>
      <c r="C82" s="170" t="s">
        <v>138</v>
      </c>
      <c r="D82" s="164" t="s">
        <v>393</v>
      </c>
      <c r="E82" s="164" t="s">
        <v>443</v>
      </c>
      <c r="F82" s="165">
        <v>16.7</v>
      </c>
      <c r="G82" s="166">
        <f t="shared" si="4"/>
        <v>2</v>
      </c>
      <c r="H82" s="166">
        <v>1</v>
      </c>
      <c r="I82" s="167">
        <f t="shared" si="5"/>
        <v>-1</v>
      </c>
      <c r="J82" s="164" t="s">
        <v>418</v>
      </c>
      <c r="K82" s="164"/>
      <c r="L82" s="168"/>
    </row>
    <row r="83" spans="1:12" x14ac:dyDescent="0.25">
      <c r="A83" s="171" t="s">
        <v>465</v>
      </c>
      <c r="B83" s="169" t="s">
        <v>425</v>
      </c>
      <c r="C83" s="169" t="s">
        <v>65</v>
      </c>
      <c r="D83" s="157" t="s">
        <v>394</v>
      </c>
      <c r="E83" s="157" t="s">
        <v>427</v>
      </c>
      <c r="F83" s="158">
        <v>19.2</v>
      </c>
      <c r="G83" s="159">
        <f t="shared" si="4"/>
        <v>2</v>
      </c>
      <c r="H83" s="159">
        <v>3</v>
      </c>
      <c r="I83" s="160">
        <f t="shared" si="5"/>
        <v>1</v>
      </c>
      <c r="J83" s="157"/>
      <c r="K83" s="157"/>
      <c r="L83" s="162"/>
    </row>
    <row r="84" spans="1:12" x14ac:dyDescent="0.25">
      <c r="A84" s="171" t="s">
        <v>465</v>
      </c>
      <c r="B84" s="169" t="s">
        <v>419</v>
      </c>
      <c r="C84" s="169" t="s">
        <v>67</v>
      </c>
      <c r="D84" s="157" t="s">
        <v>393</v>
      </c>
      <c r="E84" s="157" t="s">
        <v>434</v>
      </c>
      <c r="F84" s="158">
        <v>24.7</v>
      </c>
      <c r="G84" s="159">
        <f t="shared" si="4"/>
        <v>3</v>
      </c>
      <c r="H84" s="159">
        <v>5</v>
      </c>
      <c r="I84" s="160">
        <f t="shared" si="5"/>
        <v>2</v>
      </c>
      <c r="J84" s="157" t="s">
        <v>418</v>
      </c>
      <c r="K84" s="157"/>
      <c r="L84" s="162"/>
    </row>
    <row r="85" spans="1:12" x14ac:dyDescent="0.25">
      <c r="A85" s="171" t="s">
        <v>465</v>
      </c>
      <c r="B85" s="169" t="s">
        <v>431</v>
      </c>
      <c r="C85" s="169" t="s">
        <v>86</v>
      </c>
      <c r="D85" s="157" t="s">
        <v>394</v>
      </c>
      <c r="E85" s="157" t="s">
        <v>438</v>
      </c>
      <c r="F85" s="158">
        <v>27</v>
      </c>
      <c r="G85" s="159">
        <f t="shared" si="4"/>
        <v>3</v>
      </c>
      <c r="H85" s="159">
        <v>8</v>
      </c>
      <c r="I85" s="160">
        <f t="shared" si="5"/>
        <v>5</v>
      </c>
      <c r="J85" s="157"/>
      <c r="K85" s="157"/>
      <c r="L85" s="162"/>
    </row>
    <row r="86" spans="1:12" x14ac:dyDescent="0.25">
      <c r="A86" s="171" t="s">
        <v>465</v>
      </c>
      <c r="B86" s="169" t="s">
        <v>423</v>
      </c>
      <c r="C86" s="169" t="s">
        <v>73</v>
      </c>
      <c r="D86" s="157" t="s">
        <v>394</v>
      </c>
      <c r="E86" s="157" t="s">
        <v>458</v>
      </c>
      <c r="F86" s="158">
        <v>30.8</v>
      </c>
      <c r="G86" s="159">
        <f t="shared" si="4"/>
        <v>4</v>
      </c>
      <c r="H86" s="159">
        <v>14</v>
      </c>
      <c r="I86" s="160">
        <f t="shared" si="5"/>
        <v>10</v>
      </c>
      <c r="J86" s="157" t="s">
        <v>418</v>
      </c>
      <c r="K86" s="157"/>
      <c r="L86" s="162"/>
    </row>
    <row r="87" spans="1:12" x14ac:dyDescent="0.25">
      <c r="A87" s="171" t="s">
        <v>465</v>
      </c>
      <c r="B87" s="169" t="s">
        <v>426</v>
      </c>
      <c r="C87" s="169" t="s">
        <v>131</v>
      </c>
      <c r="D87" s="157" t="s">
        <v>393</v>
      </c>
      <c r="E87" s="157" t="s">
        <v>447</v>
      </c>
      <c r="F87" s="158">
        <v>46.1</v>
      </c>
      <c r="G87" s="159">
        <f t="shared" si="4"/>
        <v>5</v>
      </c>
      <c r="H87" s="159">
        <v>15</v>
      </c>
      <c r="I87" s="160">
        <f t="shared" si="5"/>
        <v>10</v>
      </c>
      <c r="J87" s="157" t="s">
        <v>418</v>
      </c>
      <c r="K87" s="157"/>
      <c r="L87" s="162"/>
    </row>
    <row r="88" spans="1:12" x14ac:dyDescent="0.25">
      <c r="A88" s="171" t="s">
        <v>465</v>
      </c>
      <c r="B88" s="169" t="s">
        <v>421</v>
      </c>
      <c r="C88" s="169" t="s">
        <v>71</v>
      </c>
      <c r="D88" s="157" t="s">
        <v>394</v>
      </c>
      <c r="E88" s="157" t="s">
        <v>422</v>
      </c>
      <c r="F88" s="158">
        <v>66</v>
      </c>
      <c r="G88" s="159">
        <f t="shared" si="4"/>
        <v>7</v>
      </c>
      <c r="H88" s="159">
        <v>2</v>
      </c>
      <c r="I88" s="160">
        <f t="shared" si="5"/>
        <v>-5</v>
      </c>
      <c r="J88" s="157"/>
      <c r="K88" s="157"/>
      <c r="L88" s="162"/>
    </row>
    <row r="89" spans="1:12" x14ac:dyDescent="0.25">
      <c r="A89" s="171" t="s">
        <v>465</v>
      </c>
      <c r="B89" s="169" t="s">
        <v>435</v>
      </c>
      <c r="C89" s="169" t="s">
        <v>139</v>
      </c>
      <c r="D89" s="157" t="s">
        <v>395</v>
      </c>
      <c r="E89" s="157" t="s">
        <v>417</v>
      </c>
      <c r="F89" s="158">
        <v>88.5</v>
      </c>
      <c r="G89" s="159">
        <f t="shared" si="4"/>
        <v>9</v>
      </c>
      <c r="H89" s="159">
        <v>15</v>
      </c>
      <c r="I89" s="160">
        <f t="shared" si="5"/>
        <v>6</v>
      </c>
      <c r="J89" s="157"/>
      <c r="K89" s="157"/>
      <c r="L89" s="162"/>
    </row>
    <row r="90" spans="1:12" x14ac:dyDescent="0.25">
      <c r="A90" s="171" t="s">
        <v>465</v>
      </c>
      <c r="B90" s="169" t="s">
        <v>448</v>
      </c>
      <c r="C90" s="169" t="s">
        <v>48</v>
      </c>
      <c r="D90" s="157" t="s">
        <v>394</v>
      </c>
      <c r="E90" s="157" t="s">
        <v>453</v>
      </c>
      <c r="F90" s="158">
        <v>98.3</v>
      </c>
      <c r="G90" s="159">
        <f t="shared" si="4"/>
        <v>10</v>
      </c>
      <c r="H90" s="159">
        <v>6</v>
      </c>
      <c r="I90" s="160">
        <f t="shared" si="5"/>
        <v>-4</v>
      </c>
      <c r="J90" s="157"/>
      <c r="K90" s="157"/>
      <c r="L90" s="162"/>
    </row>
    <row r="91" spans="1:12" x14ac:dyDescent="0.25">
      <c r="A91" s="171" t="s">
        <v>465</v>
      </c>
      <c r="B91" s="169" t="s">
        <v>435</v>
      </c>
      <c r="C91" s="169" t="s">
        <v>204</v>
      </c>
      <c r="D91" s="157" t="s">
        <v>394</v>
      </c>
      <c r="E91" s="157" t="s">
        <v>430</v>
      </c>
      <c r="F91" s="158">
        <v>113.6</v>
      </c>
      <c r="G91" s="159">
        <f t="shared" si="4"/>
        <v>12</v>
      </c>
      <c r="H91" s="159">
        <v>15</v>
      </c>
      <c r="I91" s="160">
        <f t="shared" si="5"/>
        <v>3</v>
      </c>
      <c r="J91" s="157"/>
      <c r="K91" s="157"/>
      <c r="L91" s="162"/>
    </row>
    <row r="92" spans="1:12" x14ac:dyDescent="0.25">
      <c r="A92" s="171" t="s">
        <v>465</v>
      </c>
      <c r="B92" s="169" t="s">
        <v>439</v>
      </c>
      <c r="C92" s="169" t="s">
        <v>129</v>
      </c>
      <c r="D92" s="157" t="s">
        <v>392</v>
      </c>
      <c r="E92" s="157" t="s">
        <v>456</v>
      </c>
      <c r="F92" s="158">
        <v>120.2</v>
      </c>
      <c r="G92" s="159">
        <f t="shared" si="4"/>
        <v>13</v>
      </c>
      <c r="H92" s="159">
        <v>7</v>
      </c>
      <c r="I92" s="160">
        <f t="shared" si="5"/>
        <v>-6</v>
      </c>
      <c r="J92" s="157"/>
      <c r="K92" s="157"/>
      <c r="L92" s="162"/>
    </row>
    <row r="93" spans="1:12" x14ac:dyDescent="0.25">
      <c r="A93" s="171" t="s">
        <v>465</v>
      </c>
      <c r="B93" s="169" t="s">
        <v>435</v>
      </c>
      <c r="C93" s="169" t="s">
        <v>188</v>
      </c>
      <c r="D93" s="157" t="s">
        <v>392</v>
      </c>
      <c r="E93" s="157" t="s">
        <v>447</v>
      </c>
      <c r="F93" s="158">
        <v>131.6</v>
      </c>
      <c r="G93" s="159">
        <f t="shared" si="4"/>
        <v>14</v>
      </c>
      <c r="H93" s="159">
        <v>15</v>
      </c>
      <c r="I93" s="160">
        <f t="shared" si="5"/>
        <v>1</v>
      </c>
      <c r="J93" s="157"/>
      <c r="K93" s="157"/>
      <c r="L93" s="162"/>
    </row>
    <row r="94" spans="1:12" x14ac:dyDescent="0.25">
      <c r="A94" s="171" t="s">
        <v>465</v>
      </c>
      <c r="B94" s="169" t="s">
        <v>435</v>
      </c>
      <c r="C94" s="169" t="s">
        <v>227</v>
      </c>
      <c r="D94" s="157" t="s">
        <v>397</v>
      </c>
      <c r="E94" s="157" t="s">
        <v>427</v>
      </c>
      <c r="F94" s="158">
        <v>133.6</v>
      </c>
      <c r="G94" s="159">
        <f t="shared" si="4"/>
        <v>14</v>
      </c>
      <c r="H94" s="159">
        <v>15</v>
      </c>
      <c r="I94" s="160">
        <f t="shared" si="5"/>
        <v>1</v>
      </c>
      <c r="J94" s="157"/>
      <c r="K94" s="157"/>
      <c r="L94" s="162"/>
    </row>
    <row r="95" spans="1:12" x14ac:dyDescent="0.25">
      <c r="A95" s="171" t="s">
        <v>465</v>
      </c>
      <c r="B95" s="169" t="s">
        <v>435</v>
      </c>
      <c r="C95" s="169" t="s">
        <v>133</v>
      </c>
      <c r="D95" s="157" t="s">
        <v>393</v>
      </c>
      <c r="E95" s="157" t="s">
        <v>451</v>
      </c>
      <c r="F95" s="158">
        <v>156.1</v>
      </c>
      <c r="G95" s="159">
        <f t="shared" si="4"/>
        <v>16</v>
      </c>
      <c r="H95" s="159">
        <v>15</v>
      </c>
      <c r="I95" s="160">
        <f t="shared" si="5"/>
        <v>-1</v>
      </c>
      <c r="J95" s="157"/>
      <c r="K95" s="157"/>
      <c r="L95" s="162"/>
    </row>
    <row r="96" spans="1:12" x14ac:dyDescent="0.25">
      <c r="A96" s="171" t="s">
        <v>465</v>
      </c>
      <c r="B96" s="169" t="s">
        <v>437</v>
      </c>
      <c r="C96" s="169" t="s">
        <v>157</v>
      </c>
      <c r="D96" s="157" t="s">
        <v>394</v>
      </c>
      <c r="E96" s="157" t="s">
        <v>453</v>
      </c>
      <c r="F96" s="158">
        <v>160.9</v>
      </c>
      <c r="G96" s="159">
        <f t="shared" si="4"/>
        <v>17</v>
      </c>
      <c r="H96" s="159">
        <v>4</v>
      </c>
      <c r="I96" s="160">
        <f t="shared" si="5"/>
        <v>-13</v>
      </c>
      <c r="J96" s="157"/>
      <c r="K96" s="157"/>
      <c r="L96" s="162"/>
    </row>
    <row r="97" spans="1:12" ht="15.75" thickBot="1" x14ac:dyDescent="0.3">
      <c r="A97" s="171" t="s">
        <v>465</v>
      </c>
      <c r="B97" s="169" t="s">
        <v>429</v>
      </c>
      <c r="C97" s="169" t="s">
        <v>187</v>
      </c>
      <c r="D97" s="157" t="s">
        <v>396</v>
      </c>
      <c r="E97" s="157" t="s">
        <v>447</v>
      </c>
      <c r="F97" s="158">
        <v>164.4</v>
      </c>
      <c r="G97" s="159">
        <f t="shared" si="4"/>
        <v>17</v>
      </c>
      <c r="H97" s="159">
        <v>13</v>
      </c>
      <c r="I97" s="160">
        <f t="shared" si="5"/>
        <v>-4</v>
      </c>
      <c r="J97" s="157"/>
      <c r="K97" s="157"/>
      <c r="L97" s="162"/>
    </row>
    <row r="98" spans="1:12" x14ac:dyDescent="0.25">
      <c r="A98" s="172" t="s">
        <v>466</v>
      </c>
      <c r="B98" s="170" t="s">
        <v>419</v>
      </c>
      <c r="C98" s="170" t="s">
        <v>19</v>
      </c>
      <c r="D98" s="164" t="s">
        <v>394</v>
      </c>
      <c r="E98" s="164" t="s">
        <v>461</v>
      </c>
      <c r="F98" s="165">
        <v>4.4000000000000004</v>
      </c>
      <c r="G98" s="166">
        <f t="shared" si="4"/>
        <v>1</v>
      </c>
      <c r="H98" s="166">
        <v>5</v>
      </c>
      <c r="I98" s="167">
        <f t="shared" si="5"/>
        <v>4</v>
      </c>
      <c r="J98" s="164" t="s">
        <v>418</v>
      </c>
      <c r="K98" s="164"/>
      <c r="L98" s="168"/>
    </row>
    <row r="99" spans="1:12" x14ac:dyDescent="0.25">
      <c r="A99" s="171" t="s">
        <v>466</v>
      </c>
      <c r="B99" s="169" t="s">
        <v>425</v>
      </c>
      <c r="C99" s="169" t="s">
        <v>7</v>
      </c>
      <c r="D99" s="157" t="s">
        <v>393</v>
      </c>
      <c r="E99" s="157" t="s">
        <v>467</v>
      </c>
      <c r="F99" s="158">
        <v>6.1</v>
      </c>
      <c r="G99" s="159">
        <f t="shared" si="4"/>
        <v>1</v>
      </c>
      <c r="H99" s="159">
        <v>3</v>
      </c>
      <c r="I99" s="160">
        <f t="shared" si="5"/>
        <v>2</v>
      </c>
      <c r="J99" s="157" t="s">
        <v>418</v>
      </c>
      <c r="K99" s="157"/>
      <c r="L99" s="162"/>
    </row>
    <row r="100" spans="1:12" x14ac:dyDescent="0.25">
      <c r="A100" s="171" t="s">
        <v>466</v>
      </c>
      <c r="B100" s="169" t="s">
        <v>416</v>
      </c>
      <c r="C100" s="169" t="s">
        <v>149</v>
      </c>
      <c r="D100" s="157" t="s">
        <v>393</v>
      </c>
      <c r="E100" s="157" t="s">
        <v>446</v>
      </c>
      <c r="F100" s="158">
        <v>17.2</v>
      </c>
      <c r="G100" s="159">
        <f t="shared" ref="G100:G131" si="6">IF($F100="","",ROUNDUP($F100/10,0))</f>
        <v>2</v>
      </c>
      <c r="H100" s="159">
        <v>1</v>
      </c>
      <c r="I100" s="160">
        <f t="shared" ref="I100:I131" si="7">IF($G100="","",$H100-$G100)</f>
        <v>-1</v>
      </c>
      <c r="J100" s="157"/>
      <c r="K100" s="157"/>
      <c r="L100" s="162"/>
    </row>
    <row r="101" spans="1:12" x14ac:dyDescent="0.25">
      <c r="A101" s="171" t="s">
        <v>466</v>
      </c>
      <c r="B101" s="169" t="s">
        <v>448</v>
      </c>
      <c r="C101" s="169" t="s">
        <v>72</v>
      </c>
      <c r="D101" s="157" t="s">
        <v>394</v>
      </c>
      <c r="E101" s="157" t="s">
        <v>441</v>
      </c>
      <c r="F101" s="158">
        <v>23.4</v>
      </c>
      <c r="G101" s="159">
        <f t="shared" si="6"/>
        <v>3</v>
      </c>
      <c r="H101" s="159">
        <v>6</v>
      </c>
      <c r="I101" s="160">
        <f t="shared" si="7"/>
        <v>3</v>
      </c>
      <c r="J101" s="157"/>
      <c r="K101" s="157"/>
      <c r="L101" s="162"/>
    </row>
    <row r="102" spans="1:12" x14ac:dyDescent="0.25">
      <c r="A102" s="171" t="s">
        <v>466</v>
      </c>
      <c r="B102" s="169" t="s">
        <v>421</v>
      </c>
      <c r="C102" s="169" t="s">
        <v>54</v>
      </c>
      <c r="D102" s="157" t="s">
        <v>394</v>
      </c>
      <c r="E102" s="157" t="s">
        <v>461</v>
      </c>
      <c r="F102" s="158">
        <v>25.4</v>
      </c>
      <c r="G102" s="159">
        <f t="shared" si="6"/>
        <v>3</v>
      </c>
      <c r="H102" s="159">
        <v>2</v>
      </c>
      <c r="I102" s="160">
        <f t="shared" si="7"/>
        <v>-1</v>
      </c>
      <c r="J102" s="157"/>
      <c r="K102" s="157"/>
      <c r="L102" s="162"/>
    </row>
    <row r="103" spans="1:12" x14ac:dyDescent="0.25">
      <c r="A103" s="171" t="s">
        <v>466</v>
      </c>
      <c r="B103" s="169" t="s">
        <v>437</v>
      </c>
      <c r="C103" s="169" t="s">
        <v>155</v>
      </c>
      <c r="D103" s="157" t="s">
        <v>394</v>
      </c>
      <c r="E103" s="157" t="s">
        <v>468</v>
      </c>
      <c r="F103" s="158">
        <v>35.200000000000003</v>
      </c>
      <c r="G103" s="159">
        <f t="shared" si="6"/>
        <v>4</v>
      </c>
      <c r="H103" s="159">
        <v>4</v>
      </c>
      <c r="I103" s="160">
        <f t="shared" si="7"/>
        <v>0</v>
      </c>
      <c r="J103" s="157"/>
      <c r="K103" s="157"/>
      <c r="L103" s="162"/>
    </row>
    <row r="104" spans="1:12" x14ac:dyDescent="0.25">
      <c r="A104" s="171" t="s">
        <v>466</v>
      </c>
      <c r="B104" s="169" t="s">
        <v>435</v>
      </c>
      <c r="C104" s="169" t="s">
        <v>219</v>
      </c>
      <c r="D104" s="157" t="s">
        <v>394</v>
      </c>
      <c r="E104" s="157" t="s">
        <v>467</v>
      </c>
      <c r="F104" s="158">
        <v>59.8</v>
      </c>
      <c r="G104" s="159">
        <f t="shared" si="6"/>
        <v>6</v>
      </c>
      <c r="H104" s="159">
        <v>15</v>
      </c>
      <c r="I104" s="160">
        <f t="shared" si="7"/>
        <v>9</v>
      </c>
      <c r="J104" s="157"/>
      <c r="K104" s="157"/>
      <c r="L104" s="162"/>
    </row>
    <row r="105" spans="1:12" x14ac:dyDescent="0.25">
      <c r="A105" s="171" t="s">
        <v>466</v>
      </c>
      <c r="B105" s="169" t="s">
        <v>439</v>
      </c>
      <c r="C105" s="169" t="s">
        <v>164</v>
      </c>
      <c r="D105" s="157" t="s">
        <v>395</v>
      </c>
      <c r="E105" s="157" t="s">
        <v>467</v>
      </c>
      <c r="F105" s="158">
        <v>61.3</v>
      </c>
      <c r="G105" s="159">
        <f t="shared" si="6"/>
        <v>7</v>
      </c>
      <c r="H105" s="159">
        <v>7</v>
      </c>
      <c r="I105" s="160">
        <f t="shared" si="7"/>
        <v>0</v>
      </c>
      <c r="J105" s="157"/>
      <c r="K105" s="157"/>
      <c r="L105" s="162"/>
    </row>
    <row r="106" spans="1:12" x14ac:dyDescent="0.25">
      <c r="A106" s="171" t="s">
        <v>466</v>
      </c>
      <c r="B106" s="169" t="s">
        <v>429</v>
      </c>
      <c r="C106" s="169" t="s">
        <v>57</v>
      </c>
      <c r="D106" s="157" t="s">
        <v>393</v>
      </c>
      <c r="E106" s="157" t="s">
        <v>449</v>
      </c>
      <c r="F106" s="158">
        <v>74.3</v>
      </c>
      <c r="G106" s="159">
        <f t="shared" si="6"/>
        <v>8</v>
      </c>
      <c r="H106" s="159">
        <v>13</v>
      </c>
      <c r="I106" s="160">
        <f t="shared" si="7"/>
        <v>5</v>
      </c>
      <c r="J106" s="157"/>
      <c r="K106" s="157"/>
      <c r="L106" s="162"/>
    </row>
    <row r="107" spans="1:12" x14ac:dyDescent="0.25">
      <c r="A107" s="171" t="s">
        <v>466</v>
      </c>
      <c r="B107" s="169" t="s">
        <v>435</v>
      </c>
      <c r="C107" s="169" t="s">
        <v>99</v>
      </c>
      <c r="D107" s="157" t="s">
        <v>392</v>
      </c>
      <c r="E107" s="157" t="s">
        <v>452</v>
      </c>
      <c r="F107" s="158">
        <v>101.4</v>
      </c>
      <c r="G107" s="159">
        <f t="shared" si="6"/>
        <v>11</v>
      </c>
      <c r="H107" s="159">
        <v>15</v>
      </c>
      <c r="I107" s="160">
        <f t="shared" si="7"/>
        <v>4</v>
      </c>
      <c r="J107" s="157"/>
      <c r="K107" s="157"/>
      <c r="L107" s="162"/>
    </row>
    <row r="108" spans="1:12" x14ac:dyDescent="0.25">
      <c r="A108" s="171" t="s">
        <v>466</v>
      </c>
      <c r="B108" s="169" t="s">
        <v>435</v>
      </c>
      <c r="C108" s="169" t="s">
        <v>206</v>
      </c>
      <c r="D108" s="157" t="s">
        <v>392</v>
      </c>
      <c r="E108" s="157" t="s">
        <v>424</v>
      </c>
      <c r="F108" s="158">
        <v>102.3</v>
      </c>
      <c r="G108" s="159">
        <f t="shared" si="6"/>
        <v>11</v>
      </c>
      <c r="H108" s="159">
        <v>15</v>
      </c>
      <c r="I108" s="160">
        <f t="shared" si="7"/>
        <v>4</v>
      </c>
      <c r="J108" s="157"/>
      <c r="K108" s="157"/>
      <c r="L108" s="162"/>
    </row>
    <row r="109" spans="1:12" x14ac:dyDescent="0.25">
      <c r="A109" s="171" t="s">
        <v>466</v>
      </c>
      <c r="B109" s="169" t="s">
        <v>459</v>
      </c>
      <c r="C109" s="169" t="s">
        <v>93</v>
      </c>
      <c r="D109" s="157" t="s">
        <v>396</v>
      </c>
      <c r="E109" s="157" t="s">
        <v>427</v>
      </c>
      <c r="F109" s="158">
        <v>128.69999999999999</v>
      </c>
      <c r="G109" s="159">
        <f t="shared" si="6"/>
        <v>13</v>
      </c>
      <c r="H109" s="159">
        <v>10</v>
      </c>
      <c r="I109" s="160">
        <f t="shared" si="7"/>
        <v>-3</v>
      </c>
      <c r="J109" s="157"/>
      <c r="K109" s="157"/>
      <c r="L109" s="162"/>
    </row>
    <row r="110" spans="1:12" x14ac:dyDescent="0.25">
      <c r="A110" s="171" t="s">
        <v>466</v>
      </c>
      <c r="B110" s="169" t="s">
        <v>435</v>
      </c>
      <c r="C110" s="169" t="s">
        <v>224</v>
      </c>
      <c r="D110" s="157" t="s">
        <v>397</v>
      </c>
      <c r="E110" s="157" t="s">
        <v>432</v>
      </c>
      <c r="F110" s="158">
        <v>147.1</v>
      </c>
      <c r="G110" s="159">
        <f t="shared" si="6"/>
        <v>15</v>
      </c>
      <c r="H110" s="159">
        <v>15</v>
      </c>
      <c r="I110" s="160">
        <f t="shared" si="7"/>
        <v>0</v>
      </c>
      <c r="J110" s="157"/>
      <c r="K110" s="157"/>
      <c r="L110" s="162"/>
    </row>
    <row r="111" spans="1:12" x14ac:dyDescent="0.25">
      <c r="A111" s="171" t="s">
        <v>466</v>
      </c>
      <c r="B111" s="169" t="s">
        <v>433</v>
      </c>
      <c r="C111" s="169" t="s">
        <v>92</v>
      </c>
      <c r="D111" s="157" t="s">
        <v>393</v>
      </c>
      <c r="E111" s="157" t="s">
        <v>436</v>
      </c>
      <c r="F111" s="158">
        <v>151.9</v>
      </c>
      <c r="G111" s="159">
        <f t="shared" si="6"/>
        <v>16</v>
      </c>
      <c r="H111" s="159">
        <v>9</v>
      </c>
      <c r="I111" s="160">
        <f t="shared" si="7"/>
        <v>-7</v>
      </c>
      <c r="J111" s="157"/>
      <c r="K111" s="157" t="s">
        <v>480</v>
      </c>
      <c r="L111" s="162"/>
    </row>
    <row r="112" spans="1:12" ht="15.75" thickBot="1" x14ac:dyDescent="0.3">
      <c r="A112" s="171" t="s">
        <v>466</v>
      </c>
      <c r="B112" s="169" t="s">
        <v>435</v>
      </c>
      <c r="C112" s="169" t="s">
        <v>212</v>
      </c>
      <c r="D112" s="157" t="s">
        <v>394</v>
      </c>
      <c r="E112" s="157" t="s">
        <v>451</v>
      </c>
      <c r="F112" s="158"/>
      <c r="G112" s="159" t="str">
        <f t="shared" si="6"/>
        <v/>
      </c>
      <c r="H112" s="159">
        <v>15</v>
      </c>
      <c r="I112" s="160" t="str">
        <f t="shared" si="7"/>
        <v/>
      </c>
      <c r="J112" s="157"/>
      <c r="K112" s="157"/>
      <c r="L112" s="162" t="s">
        <v>485</v>
      </c>
    </row>
    <row r="113" spans="1:12" x14ac:dyDescent="0.25">
      <c r="A113" s="172" t="s">
        <v>469</v>
      </c>
      <c r="B113" s="170" t="s">
        <v>416</v>
      </c>
      <c r="C113" s="170" t="s">
        <v>10</v>
      </c>
      <c r="D113" s="164" t="s">
        <v>393</v>
      </c>
      <c r="E113" s="164" t="s">
        <v>452</v>
      </c>
      <c r="F113" s="165">
        <v>5.0999999999999996</v>
      </c>
      <c r="G113" s="166">
        <f t="shared" si="6"/>
        <v>1</v>
      </c>
      <c r="H113" s="166">
        <v>1</v>
      </c>
      <c r="I113" s="167">
        <f t="shared" si="7"/>
        <v>0</v>
      </c>
      <c r="J113" s="164" t="s">
        <v>418</v>
      </c>
      <c r="K113" s="164"/>
      <c r="L113" s="168"/>
    </row>
    <row r="114" spans="1:12" x14ac:dyDescent="0.25">
      <c r="A114" s="171" t="s">
        <v>469</v>
      </c>
      <c r="B114" s="169" t="s">
        <v>459</v>
      </c>
      <c r="C114" s="169" t="s">
        <v>88</v>
      </c>
      <c r="D114" s="157" t="s">
        <v>393</v>
      </c>
      <c r="E114" s="157" t="s">
        <v>470</v>
      </c>
      <c r="F114" s="158">
        <v>9.6999999999999993</v>
      </c>
      <c r="G114" s="159">
        <f t="shared" si="6"/>
        <v>1</v>
      </c>
      <c r="H114" s="159">
        <v>10</v>
      </c>
      <c r="I114" s="160">
        <f t="shared" si="7"/>
        <v>9</v>
      </c>
      <c r="J114" s="157" t="s">
        <v>418</v>
      </c>
      <c r="K114" s="157"/>
      <c r="L114" s="162"/>
    </row>
    <row r="115" spans="1:12" x14ac:dyDescent="0.25">
      <c r="A115" s="171" t="s">
        <v>469</v>
      </c>
      <c r="B115" s="169" t="s">
        <v>423</v>
      </c>
      <c r="C115" s="169" t="s">
        <v>141</v>
      </c>
      <c r="D115" s="157" t="s">
        <v>394</v>
      </c>
      <c r="E115" s="157" t="s">
        <v>449</v>
      </c>
      <c r="F115" s="158">
        <v>16.2</v>
      </c>
      <c r="G115" s="159">
        <f t="shared" si="6"/>
        <v>2</v>
      </c>
      <c r="H115" s="159">
        <v>14</v>
      </c>
      <c r="I115" s="160">
        <f t="shared" si="7"/>
        <v>12</v>
      </c>
      <c r="J115" s="157" t="s">
        <v>418</v>
      </c>
      <c r="K115" s="157"/>
      <c r="L115" s="162"/>
    </row>
    <row r="116" spans="1:12" x14ac:dyDescent="0.25">
      <c r="A116" s="171" t="s">
        <v>469</v>
      </c>
      <c r="B116" s="169" t="s">
        <v>431</v>
      </c>
      <c r="C116" s="169" t="s">
        <v>168</v>
      </c>
      <c r="D116" s="157" t="s">
        <v>393</v>
      </c>
      <c r="E116" s="157" t="s">
        <v>451</v>
      </c>
      <c r="F116" s="158">
        <v>35.200000000000003</v>
      </c>
      <c r="G116" s="159">
        <f t="shared" si="6"/>
        <v>4</v>
      </c>
      <c r="H116" s="159">
        <v>8</v>
      </c>
      <c r="I116" s="160">
        <f t="shared" si="7"/>
        <v>4</v>
      </c>
      <c r="J116" s="157"/>
      <c r="K116" s="157"/>
      <c r="L116" s="162"/>
    </row>
    <row r="117" spans="1:12" x14ac:dyDescent="0.25">
      <c r="A117" s="171" t="s">
        <v>469</v>
      </c>
      <c r="B117" s="169" t="s">
        <v>419</v>
      </c>
      <c r="C117" s="169" t="s">
        <v>128</v>
      </c>
      <c r="D117" s="157" t="s">
        <v>395</v>
      </c>
      <c r="E117" s="157" t="s">
        <v>471</v>
      </c>
      <c r="F117" s="158">
        <v>44.1</v>
      </c>
      <c r="G117" s="159">
        <f t="shared" si="6"/>
        <v>5</v>
      </c>
      <c r="H117" s="159">
        <v>5</v>
      </c>
      <c r="I117" s="160">
        <f t="shared" si="7"/>
        <v>0</v>
      </c>
      <c r="J117" s="157" t="s">
        <v>418</v>
      </c>
      <c r="K117" s="157"/>
      <c r="L117" s="162"/>
    </row>
    <row r="118" spans="1:12" x14ac:dyDescent="0.25">
      <c r="A118" s="171" t="s">
        <v>469</v>
      </c>
      <c r="B118" s="169" t="s">
        <v>435</v>
      </c>
      <c r="C118" s="169" t="s">
        <v>177</v>
      </c>
      <c r="D118" s="157" t="s">
        <v>395</v>
      </c>
      <c r="E118" s="157" t="s">
        <v>444</v>
      </c>
      <c r="F118" s="158">
        <v>52.6</v>
      </c>
      <c r="G118" s="159">
        <f t="shared" si="6"/>
        <v>6</v>
      </c>
      <c r="H118" s="159">
        <v>15</v>
      </c>
      <c r="I118" s="160">
        <f t="shared" si="7"/>
        <v>9</v>
      </c>
      <c r="J118" s="157"/>
      <c r="K118" s="157"/>
      <c r="L118" s="162"/>
    </row>
    <row r="119" spans="1:12" x14ac:dyDescent="0.25">
      <c r="A119" s="171" t="s">
        <v>469</v>
      </c>
      <c r="B119" s="169" t="s">
        <v>437</v>
      </c>
      <c r="C119" s="169" t="s">
        <v>118</v>
      </c>
      <c r="D119" s="157" t="s">
        <v>394</v>
      </c>
      <c r="E119" s="157" t="s">
        <v>456</v>
      </c>
      <c r="F119" s="158">
        <v>69.400000000000006</v>
      </c>
      <c r="G119" s="159">
        <f t="shared" si="6"/>
        <v>7</v>
      </c>
      <c r="H119" s="159">
        <v>4</v>
      </c>
      <c r="I119" s="160">
        <f t="shared" si="7"/>
        <v>-3</v>
      </c>
      <c r="J119" s="157"/>
      <c r="K119" s="157"/>
      <c r="L119" s="162"/>
    </row>
    <row r="120" spans="1:12" x14ac:dyDescent="0.25">
      <c r="A120" s="171" t="s">
        <v>469</v>
      </c>
      <c r="B120" s="169" t="s">
        <v>435</v>
      </c>
      <c r="C120" s="169" t="s">
        <v>208</v>
      </c>
      <c r="D120" s="157" t="s">
        <v>394</v>
      </c>
      <c r="E120" s="157" t="s">
        <v>462</v>
      </c>
      <c r="F120" s="158">
        <v>81.400000000000006</v>
      </c>
      <c r="G120" s="159">
        <f t="shared" si="6"/>
        <v>9</v>
      </c>
      <c r="H120" s="159">
        <v>15</v>
      </c>
      <c r="I120" s="160">
        <f t="shared" si="7"/>
        <v>6</v>
      </c>
      <c r="J120" s="157"/>
      <c r="K120" s="157"/>
      <c r="L120" s="162"/>
    </row>
    <row r="121" spans="1:12" x14ac:dyDescent="0.25">
      <c r="A121" s="171" t="s">
        <v>469</v>
      </c>
      <c r="B121" s="169" t="s">
        <v>425</v>
      </c>
      <c r="C121" s="169" t="s">
        <v>55</v>
      </c>
      <c r="D121" s="157" t="s">
        <v>393</v>
      </c>
      <c r="E121" s="157" t="s">
        <v>468</v>
      </c>
      <c r="F121" s="158">
        <v>81.599999999999994</v>
      </c>
      <c r="G121" s="159">
        <f t="shared" si="6"/>
        <v>9</v>
      </c>
      <c r="H121" s="159">
        <v>3</v>
      </c>
      <c r="I121" s="160">
        <f t="shared" si="7"/>
        <v>-6</v>
      </c>
      <c r="J121" s="157"/>
      <c r="K121" s="157"/>
      <c r="L121" s="162"/>
    </row>
    <row r="122" spans="1:12" x14ac:dyDescent="0.25">
      <c r="A122" s="171" t="s">
        <v>469</v>
      </c>
      <c r="B122" s="169" t="s">
        <v>440</v>
      </c>
      <c r="C122" s="169" t="s">
        <v>102</v>
      </c>
      <c r="D122" s="157" t="s">
        <v>394</v>
      </c>
      <c r="E122" s="157" t="s">
        <v>434</v>
      </c>
      <c r="F122" s="158">
        <v>81.8</v>
      </c>
      <c r="G122" s="159">
        <f t="shared" si="6"/>
        <v>9</v>
      </c>
      <c r="H122" s="159">
        <v>12</v>
      </c>
      <c r="I122" s="160">
        <f t="shared" si="7"/>
        <v>3</v>
      </c>
      <c r="J122" s="157"/>
      <c r="K122" s="157"/>
      <c r="L122" s="162"/>
    </row>
    <row r="123" spans="1:12" x14ac:dyDescent="0.25">
      <c r="A123" s="171" t="s">
        <v>469</v>
      </c>
      <c r="B123" s="169" t="s">
        <v>435</v>
      </c>
      <c r="C123" s="169" t="s">
        <v>230</v>
      </c>
      <c r="D123" s="157" t="s">
        <v>397</v>
      </c>
      <c r="E123" s="157" t="s">
        <v>456</v>
      </c>
      <c r="F123" s="158">
        <v>100.5</v>
      </c>
      <c r="G123" s="159">
        <f t="shared" si="6"/>
        <v>11</v>
      </c>
      <c r="H123" s="159">
        <v>15</v>
      </c>
      <c r="I123" s="160">
        <f t="shared" si="7"/>
        <v>4</v>
      </c>
      <c r="J123" s="157"/>
      <c r="K123" s="157"/>
      <c r="L123" s="162"/>
    </row>
    <row r="124" spans="1:12" x14ac:dyDescent="0.25">
      <c r="A124" s="171" t="s">
        <v>469</v>
      </c>
      <c r="B124" s="169" t="s">
        <v>435</v>
      </c>
      <c r="C124" s="169" t="s">
        <v>127</v>
      </c>
      <c r="D124" s="157" t="s">
        <v>393</v>
      </c>
      <c r="E124" s="157" t="s">
        <v>424</v>
      </c>
      <c r="F124" s="158">
        <v>115</v>
      </c>
      <c r="G124" s="159">
        <f t="shared" si="6"/>
        <v>12</v>
      </c>
      <c r="H124" s="159">
        <v>15</v>
      </c>
      <c r="I124" s="160">
        <f t="shared" si="7"/>
        <v>3</v>
      </c>
      <c r="J124" s="157"/>
      <c r="K124" s="157"/>
      <c r="L124" s="162"/>
    </row>
    <row r="125" spans="1:12" x14ac:dyDescent="0.25">
      <c r="A125" s="171" t="s">
        <v>469</v>
      </c>
      <c r="B125" s="169" t="s">
        <v>439</v>
      </c>
      <c r="C125" s="169" t="s">
        <v>59</v>
      </c>
      <c r="D125" s="157" t="s">
        <v>394</v>
      </c>
      <c r="E125" s="157" t="s">
        <v>463</v>
      </c>
      <c r="F125" s="158">
        <v>138.6</v>
      </c>
      <c r="G125" s="159">
        <f t="shared" si="6"/>
        <v>14</v>
      </c>
      <c r="H125" s="159">
        <v>7</v>
      </c>
      <c r="I125" s="160">
        <f t="shared" si="7"/>
        <v>-7</v>
      </c>
      <c r="J125" s="157"/>
      <c r="K125" s="157"/>
      <c r="L125" s="162"/>
    </row>
    <row r="126" spans="1:12" x14ac:dyDescent="0.25">
      <c r="A126" s="171" t="s">
        <v>469</v>
      </c>
      <c r="B126" s="169" t="s">
        <v>455</v>
      </c>
      <c r="C126" s="169" t="s">
        <v>98</v>
      </c>
      <c r="D126" s="157" t="s">
        <v>396</v>
      </c>
      <c r="E126" s="157" t="s">
        <v>446</v>
      </c>
      <c r="F126" s="158">
        <v>147.6</v>
      </c>
      <c r="G126" s="159">
        <f t="shared" si="6"/>
        <v>15</v>
      </c>
      <c r="H126" s="159">
        <v>11</v>
      </c>
      <c r="I126" s="160">
        <f t="shared" si="7"/>
        <v>-4</v>
      </c>
      <c r="J126" s="157"/>
      <c r="K126" s="157"/>
      <c r="L126" s="162"/>
    </row>
    <row r="127" spans="1:12" x14ac:dyDescent="0.25">
      <c r="A127" s="171" t="s">
        <v>469</v>
      </c>
      <c r="B127" s="169" t="s">
        <v>435</v>
      </c>
      <c r="C127" s="169" t="s">
        <v>214</v>
      </c>
      <c r="D127" s="157" t="s">
        <v>395</v>
      </c>
      <c r="E127" s="157" t="s">
        <v>441</v>
      </c>
      <c r="F127" s="158">
        <v>171.2</v>
      </c>
      <c r="G127" s="159">
        <f t="shared" si="6"/>
        <v>18</v>
      </c>
      <c r="H127" s="159">
        <v>15</v>
      </c>
      <c r="I127" s="160">
        <f t="shared" si="7"/>
        <v>-3</v>
      </c>
      <c r="J127" s="157"/>
      <c r="K127" s="157"/>
      <c r="L127" s="162"/>
    </row>
    <row r="128" spans="1:12" x14ac:dyDescent="0.25">
      <c r="A128" s="171" t="s">
        <v>469</v>
      </c>
      <c r="B128" s="169" t="s">
        <v>435</v>
      </c>
      <c r="C128" s="169" t="s">
        <v>203</v>
      </c>
      <c r="D128" s="157" t="s">
        <v>392</v>
      </c>
      <c r="E128" s="157" t="s">
        <v>462</v>
      </c>
      <c r="F128" s="158"/>
      <c r="G128" s="159" t="str">
        <f t="shared" si="6"/>
        <v/>
      </c>
      <c r="H128" s="159">
        <v>15</v>
      </c>
      <c r="I128" s="160" t="str">
        <f t="shared" si="7"/>
        <v/>
      </c>
      <c r="J128" s="157"/>
      <c r="K128" s="157"/>
      <c r="L128" s="162" t="s">
        <v>483</v>
      </c>
    </row>
    <row r="129" spans="1:12" ht="15.75" thickBot="1" x14ac:dyDescent="0.3">
      <c r="A129" s="171" t="s">
        <v>469</v>
      </c>
      <c r="B129" s="169" t="s">
        <v>435</v>
      </c>
      <c r="C129" s="169" t="s">
        <v>226</v>
      </c>
      <c r="D129" s="157" t="s">
        <v>393</v>
      </c>
      <c r="E129" s="157" t="s">
        <v>445</v>
      </c>
      <c r="F129" s="158"/>
      <c r="G129" s="159" t="str">
        <f t="shared" si="6"/>
        <v/>
      </c>
      <c r="H129" s="159">
        <v>15</v>
      </c>
      <c r="I129" s="160" t="str">
        <f t="shared" si="7"/>
        <v/>
      </c>
      <c r="J129" s="157"/>
      <c r="K129" s="157"/>
      <c r="L129" s="162" t="s">
        <v>483</v>
      </c>
    </row>
    <row r="130" spans="1:12" x14ac:dyDescent="0.25">
      <c r="A130" s="172" t="s">
        <v>472</v>
      </c>
      <c r="B130" s="170" t="s">
        <v>425</v>
      </c>
      <c r="C130" s="170" t="s">
        <v>15</v>
      </c>
      <c r="D130" s="164" t="s">
        <v>393</v>
      </c>
      <c r="E130" s="164" t="s">
        <v>420</v>
      </c>
      <c r="F130" s="165">
        <v>9.9</v>
      </c>
      <c r="G130" s="166">
        <f t="shared" si="6"/>
        <v>1</v>
      </c>
      <c r="H130" s="166">
        <v>3</v>
      </c>
      <c r="I130" s="167">
        <f t="shared" si="7"/>
        <v>2</v>
      </c>
      <c r="J130" s="164" t="s">
        <v>418</v>
      </c>
      <c r="K130" s="164"/>
      <c r="L130" s="168"/>
    </row>
    <row r="131" spans="1:12" x14ac:dyDescent="0.25">
      <c r="A131" s="171" t="s">
        <v>472</v>
      </c>
      <c r="B131" s="169" t="s">
        <v>433</v>
      </c>
      <c r="C131" s="169" t="s">
        <v>199</v>
      </c>
      <c r="D131" s="157" t="s">
        <v>394</v>
      </c>
      <c r="E131" s="157" t="s">
        <v>430</v>
      </c>
      <c r="F131" s="158">
        <v>23.8</v>
      </c>
      <c r="G131" s="159">
        <f t="shared" si="6"/>
        <v>3</v>
      </c>
      <c r="H131" s="159">
        <v>9</v>
      </c>
      <c r="I131" s="160">
        <f t="shared" si="7"/>
        <v>6</v>
      </c>
      <c r="J131" s="157" t="s">
        <v>418</v>
      </c>
      <c r="K131" s="157"/>
      <c r="L131" s="162"/>
    </row>
    <row r="132" spans="1:12" x14ac:dyDescent="0.25">
      <c r="A132" s="171" t="s">
        <v>472</v>
      </c>
      <c r="B132" s="169" t="s">
        <v>421</v>
      </c>
      <c r="C132" s="169" t="s">
        <v>9</v>
      </c>
      <c r="D132" s="157" t="s">
        <v>394</v>
      </c>
      <c r="E132" s="157" t="s">
        <v>464</v>
      </c>
      <c r="F132" s="158">
        <v>36.700000000000003</v>
      </c>
      <c r="G132" s="159">
        <f t="shared" ref="G132:G162" si="8">IF($F132="","",ROUNDUP($F132/10,0))</f>
        <v>4</v>
      </c>
      <c r="H132" s="159">
        <v>2</v>
      </c>
      <c r="I132" s="160">
        <f t="shared" ref="I132:I162" si="9">IF($G132="","",$H132-$G132)</f>
        <v>-2</v>
      </c>
      <c r="J132" s="157"/>
      <c r="K132" s="157"/>
      <c r="L132" s="162"/>
    </row>
    <row r="133" spans="1:12" x14ac:dyDescent="0.25">
      <c r="A133" s="171" t="s">
        <v>472</v>
      </c>
      <c r="B133" s="169" t="s">
        <v>419</v>
      </c>
      <c r="C133" s="169" t="s">
        <v>64</v>
      </c>
      <c r="D133" s="157" t="s">
        <v>393</v>
      </c>
      <c r="E133" s="157" t="s">
        <v>444</v>
      </c>
      <c r="F133" s="158">
        <v>45.8</v>
      </c>
      <c r="G133" s="159">
        <f t="shared" si="8"/>
        <v>5</v>
      </c>
      <c r="H133" s="159">
        <v>5</v>
      </c>
      <c r="I133" s="160">
        <f t="shared" si="9"/>
        <v>0</v>
      </c>
      <c r="J133" s="157"/>
      <c r="K133" s="157"/>
      <c r="L133" s="162"/>
    </row>
    <row r="134" spans="1:12" x14ac:dyDescent="0.25">
      <c r="A134" s="171" t="s">
        <v>472</v>
      </c>
      <c r="B134" s="169" t="s">
        <v>431</v>
      </c>
      <c r="C134" s="169" t="s">
        <v>198</v>
      </c>
      <c r="D134" s="157" t="s">
        <v>394</v>
      </c>
      <c r="E134" s="157" t="s">
        <v>447</v>
      </c>
      <c r="F134" s="158">
        <v>81.5</v>
      </c>
      <c r="G134" s="159">
        <f t="shared" si="8"/>
        <v>9</v>
      </c>
      <c r="H134" s="159">
        <v>8</v>
      </c>
      <c r="I134" s="160">
        <f t="shared" si="9"/>
        <v>-1</v>
      </c>
      <c r="J134" s="157"/>
      <c r="K134" s="157"/>
      <c r="L134" s="162"/>
    </row>
    <row r="135" spans="1:12" x14ac:dyDescent="0.25">
      <c r="A135" s="171" t="s">
        <v>472</v>
      </c>
      <c r="B135" s="169" t="s">
        <v>435</v>
      </c>
      <c r="C135" s="169" t="s">
        <v>83</v>
      </c>
      <c r="D135" s="157" t="s">
        <v>392</v>
      </c>
      <c r="E135" s="157" t="s">
        <v>428</v>
      </c>
      <c r="F135" s="158">
        <v>94.3</v>
      </c>
      <c r="G135" s="159">
        <f t="shared" si="8"/>
        <v>10</v>
      </c>
      <c r="H135" s="159">
        <v>15</v>
      </c>
      <c r="I135" s="160">
        <f t="shared" si="9"/>
        <v>5</v>
      </c>
      <c r="J135" s="157"/>
      <c r="K135" s="157"/>
      <c r="L135" s="162"/>
    </row>
    <row r="136" spans="1:12" x14ac:dyDescent="0.25">
      <c r="A136" s="171" t="s">
        <v>472</v>
      </c>
      <c r="B136" s="169" t="s">
        <v>437</v>
      </c>
      <c r="C136" s="169" t="s">
        <v>31</v>
      </c>
      <c r="D136" s="157" t="s">
        <v>395</v>
      </c>
      <c r="E136" s="157" t="s">
        <v>452</v>
      </c>
      <c r="F136" s="158">
        <v>104.2</v>
      </c>
      <c r="G136" s="159">
        <f t="shared" si="8"/>
        <v>11</v>
      </c>
      <c r="H136" s="159">
        <v>4</v>
      </c>
      <c r="I136" s="160">
        <f t="shared" si="9"/>
        <v>-7</v>
      </c>
      <c r="J136" s="157" t="s">
        <v>418</v>
      </c>
      <c r="K136" s="157" t="s">
        <v>480</v>
      </c>
      <c r="L136" s="162"/>
    </row>
    <row r="137" spans="1:12" x14ac:dyDescent="0.25">
      <c r="A137" s="171" t="s">
        <v>472</v>
      </c>
      <c r="B137" s="169" t="s">
        <v>435</v>
      </c>
      <c r="C137" s="169" t="s">
        <v>232</v>
      </c>
      <c r="D137" s="157" t="s">
        <v>397</v>
      </c>
      <c r="E137" s="157" t="s">
        <v>430</v>
      </c>
      <c r="F137" s="158">
        <v>107.7</v>
      </c>
      <c r="G137" s="159">
        <f t="shared" si="8"/>
        <v>11</v>
      </c>
      <c r="H137" s="159">
        <v>15</v>
      </c>
      <c r="I137" s="160">
        <f t="shared" si="9"/>
        <v>4</v>
      </c>
      <c r="J137" s="157"/>
      <c r="K137" s="157"/>
      <c r="L137" s="162"/>
    </row>
    <row r="138" spans="1:12" x14ac:dyDescent="0.25">
      <c r="A138" s="171" t="s">
        <v>472</v>
      </c>
      <c r="B138" s="169" t="s">
        <v>435</v>
      </c>
      <c r="C138" s="169" t="s">
        <v>82</v>
      </c>
      <c r="D138" s="157" t="s">
        <v>393</v>
      </c>
      <c r="E138" s="157" t="s">
        <v>464</v>
      </c>
      <c r="F138" s="158">
        <v>111.3</v>
      </c>
      <c r="G138" s="159">
        <f t="shared" si="8"/>
        <v>12</v>
      </c>
      <c r="H138" s="159">
        <v>15</v>
      </c>
      <c r="I138" s="160">
        <f t="shared" si="9"/>
        <v>3</v>
      </c>
      <c r="J138" s="157"/>
      <c r="K138" s="157"/>
      <c r="L138" s="162"/>
    </row>
    <row r="139" spans="1:12" x14ac:dyDescent="0.25">
      <c r="A139" s="171" t="s">
        <v>472</v>
      </c>
      <c r="B139" s="169" t="s">
        <v>435</v>
      </c>
      <c r="C139" s="169" t="s">
        <v>209</v>
      </c>
      <c r="D139" s="157" t="s">
        <v>395</v>
      </c>
      <c r="E139" s="157" t="s">
        <v>453</v>
      </c>
      <c r="F139" s="158">
        <v>143.9</v>
      </c>
      <c r="G139" s="159">
        <f t="shared" si="8"/>
        <v>15</v>
      </c>
      <c r="H139" s="159">
        <v>15</v>
      </c>
      <c r="I139" s="160">
        <f t="shared" si="9"/>
        <v>0</v>
      </c>
      <c r="J139" s="157"/>
      <c r="K139" s="157"/>
      <c r="L139" s="162"/>
    </row>
    <row r="140" spans="1:12" x14ac:dyDescent="0.25">
      <c r="A140" s="171" t="s">
        <v>472</v>
      </c>
      <c r="B140" s="169" t="s">
        <v>435</v>
      </c>
      <c r="C140" s="169" t="s">
        <v>231</v>
      </c>
      <c r="D140" s="157" t="s">
        <v>396</v>
      </c>
      <c r="E140" s="157" t="s">
        <v>420</v>
      </c>
      <c r="F140" s="158">
        <v>148.19999999999999</v>
      </c>
      <c r="G140" s="159">
        <f t="shared" si="8"/>
        <v>15</v>
      </c>
      <c r="H140" s="159">
        <v>15</v>
      </c>
      <c r="I140" s="160">
        <f t="shared" si="9"/>
        <v>0</v>
      </c>
      <c r="J140" s="157"/>
      <c r="K140" s="157"/>
      <c r="L140" s="162"/>
    </row>
    <row r="141" spans="1:12" x14ac:dyDescent="0.25">
      <c r="A141" s="171" t="s">
        <v>472</v>
      </c>
      <c r="B141" s="169" t="s">
        <v>416</v>
      </c>
      <c r="C141" s="169" t="s">
        <v>56</v>
      </c>
      <c r="D141" s="157" t="s">
        <v>393</v>
      </c>
      <c r="E141" s="157" t="s">
        <v>462</v>
      </c>
      <c r="F141" s="158"/>
      <c r="G141" s="159" t="str">
        <f t="shared" si="8"/>
        <v/>
      </c>
      <c r="H141" s="159">
        <v>1</v>
      </c>
      <c r="I141" s="160" t="str">
        <f t="shared" si="9"/>
        <v/>
      </c>
      <c r="J141" s="157"/>
      <c r="K141" s="157"/>
      <c r="L141" s="162" t="s">
        <v>483</v>
      </c>
    </row>
    <row r="142" spans="1:12" x14ac:dyDescent="0.25">
      <c r="A142" s="171" t="s">
        <v>472</v>
      </c>
      <c r="B142" s="169" t="s">
        <v>426</v>
      </c>
      <c r="C142" s="169" t="s">
        <v>42</v>
      </c>
      <c r="D142" s="157" t="s">
        <v>394</v>
      </c>
      <c r="E142" s="157" t="s">
        <v>470</v>
      </c>
      <c r="F142" s="158"/>
      <c r="G142" s="159" t="str">
        <f t="shared" si="8"/>
        <v/>
      </c>
      <c r="H142" s="159">
        <v>15</v>
      </c>
      <c r="I142" s="160" t="str">
        <f t="shared" si="9"/>
        <v/>
      </c>
      <c r="J142" s="157" t="s">
        <v>418</v>
      </c>
      <c r="K142" s="157" t="s">
        <v>479</v>
      </c>
      <c r="L142" s="162" t="s">
        <v>483</v>
      </c>
    </row>
    <row r="143" spans="1:12" x14ac:dyDescent="0.25">
      <c r="A143" s="171" t="s">
        <v>472</v>
      </c>
      <c r="B143" s="169" t="s">
        <v>435</v>
      </c>
      <c r="C143" s="169" t="s">
        <v>215</v>
      </c>
      <c r="D143" s="157" t="s">
        <v>393</v>
      </c>
      <c r="E143" s="157" t="s">
        <v>441</v>
      </c>
      <c r="F143" s="158"/>
      <c r="G143" s="159" t="str">
        <f t="shared" si="8"/>
        <v/>
      </c>
      <c r="H143" s="159">
        <v>15</v>
      </c>
      <c r="I143" s="160" t="str">
        <f t="shared" si="9"/>
        <v/>
      </c>
      <c r="J143" s="157"/>
      <c r="K143" s="157"/>
      <c r="L143" s="162" t="s">
        <v>483</v>
      </c>
    </row>
    <row r="144" spans="1:12" x14ac:dyDescent="0.25">
      <c r="A144" s="171" t="s">
        <v>472</v>
      </c>
      <c r="B144" s="169" t="s">
        <v>435</v>
      </c>
      <c r="C144" s="169" t="s">
        <v>109</v>
      </c>
      <c r="D144" s="157" t="s">
        <v>394</v>
      </c>
      <c r="E144" s="157" t="s">
        <v>446</v>
      </c>
      <c r="F144" s="158"/>
      <c r="G144" s="159" t="str">
        <f t="shared" si="8"/>
        <v/>
      </c>
      <c r="H144" s="159">
        <v>15</v>
      </c>
      <c r="I144" s="160" t="str">
        <f t="shared" si="9"/>
        <v/>
      </c>
      <c r="J144" s="157"/>
      <c r="K144" s="157" t="s">
        <v>479</v>
      </c>
      <c r="L144" s="162" t="s">
        <v>483</v>
      </c>
    </row>
    <row r="145" spans="1:12" x14ac:dyDescent="0.25">
      <c r="A145" s="171" t="s">
        <v>472</v>
      </c>
      <c r="B145" s="169" t="s">
        <v>435</v>
      </c>
      <c r="C145" s="169" t="s">
        <v>112</v>
      </c>
      <c r="D145" s="157" t="s">
        <v>394</v>
      </c>
      <c r="E145" s="157" t="s">
        <v>451</v>
      </c>
      <c r="F145" s="158"/>
      <c r="G145" s="159" t="str">
        <f t="shared" si="8"/>
        <v/>
      </c>
      <c r="H145" s="159">
        <v>15</v>
      </c>
      <c r="I145" s="160" t="str">
        <f t="shared" si="9"/>
        <v/>
      </c>
      <c r="J145" s="157"/>
      <c r="K145" s="157"/>
      <c r="L145" s="162" t="s">
        <v>483</v>
      </c>
    </row>
    <row r="146" spans="1:12" ht="15.75" thickBot="1" x14ac:dyDescent="0.3">
      <c r="A146" s="171" t="s">
        <v>472</v>
      </c>
      <c r="B146" s="169" t="s">
        <v>435</v>
      </c>
      <c r="C146" s="169" t="s">
        <v>115</v>
      </c>
      <c r="D146" s="157" t="s">
        <v>394</v>
      </c>
      <c r="E146" s="157" t="s">
        <v>422</v>
      </c>
      <c r="F146" s="158"/>
      <c r="G146" s="159" t="str">
        <f t="shared" si="8"/>
        <v/>
      </c>
      <c r="H146" s="159">
        <v>15</v>
      </c>
      <c r="I146" s="160" t="str">
        <f t="shared" si="9"/>
        <v/>
      </c>
      <c r="J146" s="157"/>
      <c r="K146" s="157"/>
      <c r="L146" s="162" t="s">
        <v>483</v>
      </c>
    </row>
    <row r="147" spans="1:12" x14ac:dyDescent="0.25">
      <c r="A147" s="172" t="s">
        <v>473</v>
      </c>
      <c r="B147" s="170" t="s">
        <v>433</v>
      </c>
      <c r="C147" s="170" t="s">
        <v>29</v>
      </c>
      <c r="D147" s="164" t="s">
        <v>394</v>
      </c>
      <c r="E147" s="164" t="s">
        <v>454</v>
      </c>
      <c r="F147" s="165">
        <v>13.5</v>
      </c>
      <c r="G147" s="166">
        <f t="shared" si="8"/>
        <v>2</v>
      </c>
      <c r="H147" s="166">
        <v>9</v>
      </c>
      <c r="I147" s="167">
        <f t="shared" si="9"/>
        <v>7</v>
      </c>
      <c r="J147" s="164" t="s">
        <v>418</v>
      </c>
      <c r="K147" s="164"/>
      <c r="L147" s="168"/>
    </row>
    <row r="148" spans="1:12" x14ac:dyDescent="0.25">
      <c r="A148" s="171" t="s">
        <v>473</v>
      </c>
      <c r="B148" s="169" t="s">
        <v>416</v>
      </c>
      <c r="C148" s="169" t="s">
        <v>148</v>
      </c>
      <c r="D148" s="157" t="s">
        <v>393</v>
      </c>
      <c r="E148" s="157" t="s">
        <v>471</v>
      </c>
      <c r="F148" s="158">
        <v>13.6</v>
      </c>
      <c r="G148" s="159">
        <f t="shared" si="8"/>
        <v>2</v>
      </c>
      <c r="H148" s="159">
        <v>1</v>
      </c>
      <c r="I148" s="160">
        <f t="shared" si="9"/>
        <v>-1</v>
      </c>
      <c r="J148" s="157"/>
      <c r="K148" s="157"/>
      <c r="L148" s="162"/>
    </row>
    <row r="149" spans="1:12" x14ac:dyDescent="0.25">
      <c r="A149" s="171" t="s">
        <v>473</v>
      </c>
      <c r="B149" s="169" t="s">
        <v>459</v>
      </c>
      <c r="C149" s="169" t="s">
        <v>20</v>
      </c>
      <c r="D149" s="157" t="s">
        <v>393</v>
      </c>
      <c r="E149" s="157" t="s">
        <v>427</v>
      </c>
      <c r="F149" s="158">
        <v>32.4</v>
      </c>
      <c r="G149" s="159">
        <f t="shared" si="8"/>
        <v>4</v>
      </c>
      <c r="H149" s="159">
        <v>10</v>
      </c>
      <c r="I149" s="160">
        <f t="shared" si="9"/>
        <v>6</v>
      </c>
      <c r="J149" s="157"/>
      <c r="K149" s="157"/>
      <c r="L149" s="162"/>
    </row>
    <row r="150" spans="1:12" x14ac:dyDescent="0.25">
      <c r="A150" s="171" t="s">
        <v>473</v>
      </c>
      <c r="B150" s="169" t="s">
        <v>437</v>
      </c>
      <c r="C150" s="169" t="s">
        <v>49</v>
      </c>
      <c r="D150" s="157" t="s">
        <v>394</v>
      </c>
      <c r="E150" s="157" t="s">
        <v>456</v>
      </c>
      <c r="F150" s="158">
        <v>38.5</v>
      </c>
      <c r="G150" s="159">
        <f t="shared" si="8"/>
        <v>4</v>
      </c>
      <c r="H150" s="159">
        <v>4</v>
      </c>
      <c r="I150" s="160">
        <f t="shared" si="9"/>
        <v>0</v>
      </c>
      <c r="J150" s="157"/>
      <c r="K150" s="157"/>
      <c r="L150" s="162"/>
    </row>
    <row r="151" spans="1:12" x14ac:dyDescent="0.25">
      <c r="A151" s="171" t="s">
        <v>473</v>
      </c>
      <c r="B151" s="169" t="s">
        <v>419</v>
      </c>
      <c r="C151" s="169" t="s">
        <v>41</v>
      </c>
      <c r="D151" s="157" t="s">
        <v>392</v>
      </c>
      <c r="E151" s="157" t="s">
        <v>461</v>
      </c>
      <c r="F151" s="158">
        <v>48.3</v>
      </c>
      <c r="G151" s="159">
        <f t="shared" si="8"/>
        <v>5</v>
      </c>
      <c r="H151" s="159">
        <v>5</v>
      </c>
      <c r="I151" s="160">
        <f t="shared" si="9"/>
        <v>0</v>
      </c>
      <c r="J151" s="157"/>
      <c r="K151" s="157"/>
      <c r="L151" s="162"/>
    </row>
    <row r="152" spans="1:12" x14ac:dyDescent="0.25">
      <c r="A152" s="171" t="s">
        <v>473</v>
      </c>
      <c r="B152" s="169" t="s">
        <v>435</v>
      </c>
      <c r="C152" s="169" t="s">
        <v>77</v>
      </c>
      <c r="D152" s="157" t="s">
        <v>394</v>
      </c>
      <c r="E152" s="157" t="s">
        <v>434</v>
      </c>
      <c r="F152" s="158">
        <v>59.1</v>
      </c>
      <c r="G152" s="159">
        <f t="shared" si="8"/>
        <v>6</v>
      </c>
      <c r="H152" s="159">
        <v>15</v>
      </c>
      <c r="I152" s="160">
        <f t="shared" si="9"/>
        <v>9</v>
      </c>
      <c r="J152" s="157"/>
      <c r="K152" s="157"/>
      <c r="L152" s="162"/>
    </row>
    <row r="153" spans="1:12" x14ac:dyDescent="0.25">
      <c r="A153" s="171" t="s">
        <v>473</v>
      </c>
      <c r="B153" s="169" t="s">
        <v>435</v>
      </c>
      <c r="C153" s="169" t="s">
        <v>142</v>
      </c>
      <c r="D153" s="157" t="s">
        <v>392</v>
      </c>
      <c r="E153" s="157" t="s">
        <v>449</v>
      </c>
      <c r="F153" s="158">
        <v>62.8</v>
      </c>
      <c r="G153" s="159">
        <f t="shared" si="8"/>
        <v>7</v>
      </c>
      <c r="H153" s="159">
        <v>15</v>
      </c>
      <c r="I153" s="160">
        <f t="shared" si="9"/>
        <v>8</v>
      </c>
      <c r="J153" s="157"/>
      <c r="K153" s="157"/>
      <c r="L153" s="162"/>
    </row>
    <row r="154" spans="1:12" x14ac:dyDescent="0.25">
      <c r="A154" s="171" t="s">
        <v>473</v>
      </c>
      <c r="B154" s="169" t="s">
        <v>421</v>
      </c>
      <c r="C154" s="169" t="s">
        <v>195</v>
      </c>
      <c r="D154" s="157" t="s">
        <v>394</v>
      </c>
      <c r="E154" s="157" t="s">
        <v>462</v>
      </c>
      <c r="F154" s="158">
        <v>64.900000000000006</v>
      </c>
      <c r="G154" s="159">
        <f t="shared" si="8"/>
        <v>7</v>
      </c>
      <c r="H154" s="159">
        <v>2</v>
      </c>
      <c r="I154" s="160">
        <f t="shared" si="9"/>
        <v>-5</v>
      </c>
      <c r="J154" s="157"/>
      <c r="K154" s="157"/>
      <c r="L154" s="162"/>
    </row>
    <row r="155" spans="1:12" x14ac:dyDescent="0.25">
      <c r="A155" s="171" t="s">
        <v>473</v>
      </c>
      <c r="B155" s="169" t="s">
        <v>426</v>
      </c>
      <c r="C155" s="169" t="s">
        <v>103</v>
      </c>
      <c r="D155" s="157" t="s">
        <v>395</v>
      </c>
      <c r="E155" s="157" t="s">
        <v>428</v>
      </c>
      <c r="F155" s="158">
        <v>80.8</v>
      </c>
      <c r="G155" s="159">
        <f t="shared" si="8"/>
        <v>9</v>
      </c>
      <c r="H155" s="159">
        <v>15</v>
      </c>
      <c r="I155" s="160">
        <f t="shared" si="9"/>
        <v>6</v>
      </c>
      <c r="J155" s="157" t="s">
        <v>418</v>
      </c>
      <c r="K155" s="157"/>
      <c r="L155" s="162"/>
    </row>
    <row r="156" spans="1:12" x14ac:dyDescent="0.25">
      <c r="A156" s="171" t="s">
        <v>473</v>
      </c>
      <c r="B156" s="169" t="s">
        <v>435</v>
      </c>
      <c r="C156" s="169" t="s">
        <v>122</v>
      </c>
      <c r="D156" s="157" t="s">
        <v>394</v>
      </c>
      <c r="E156" s="157" t="s">
        <v>446</v>
      </c>
      <c r="F156" s="158">
        <v>89.9</v>
      </c>
      <c r="G156" s="159">
        <f t="shared" si="8"/>
        <v>9</v>
      </c>
      <c r="H156" s="159">
        <v>15</v>
      </c>
      <c r="I156" s="160">
        <f t="shared" si="9"/>
        <v>6</v>
      </c>
      <c r="J156" s="157"/>
      <c r="K156" s="157"/>
      <c r="L156" s="162"/>
    </row>
    <row r="157" spans="1:12" x14ac:dyDescent="0.25">
      <c r="A157" s="171" t="s">
        <v>473</v>
      </c>
      <c r="B157" s="169" t="s">
        <v>435</v>
      </c>
      <c r="C157" s="169" t="s">
        <v>229</v>
      </c>
      <c r="D157" s="157" t="s">
        <v>397</v>
      </c>
      <c r="E157" s="157" t="s">
        <v>453</v>
      </c>
      <c r="F157" s="158">
        <v>132.19999999999999</v>
      </c>
      <c r="G157" s="159">
        <f t="shared" si="8"/>
        <v>14</v>
      </c>
      <c r="H157" s="159">
        <v>15</v>
      </c>
      <c r="I157" s="160">
        <f t="shared" si="9"/>
        <v>1</v>
      </c>
      <c r="J157" s="157"/>
      <c r="K157" s="157"/>
      <c r="L157" s="162"/>
    </row>
    <row r="158" spans="1:12" x14ac:dyDescent="0.25">
      <c r="A158" s="171" t="s">
        <v>473</v>
      </c>
      <c r="B158" s="169" t="s">
        <v>435</v>
      </c>
      <c r="C158" s="169" t="s">
        <v>222</v>
      </c>
      <c r="D158" s="157" t="s">
        <v>393</v>
      </c>
      <c r="E158" s="157" t="s">
        <v>430</v>
      </c>
      <c r="F158" s="158">
        <v>147.30000000000001</v>
      </c>
      <c r="G158" s="159">
        <f t="shared" si="8"/>
        <v>15</v>
      </c>
      <c r="H158" s="159">
        <v>15</v>
      </c>
      <c r="I158" s="160">
        <f t="shared" si="9"/>
        <v>0</v>
      </c>
      <c r="J158" s="157"/>
      <c r="K158" s="157"/>
      <c r="L158" s="162"/>
    </row>
    <row r="159" spans="1:12" x14ac:dyDescent="0.25">
      <c r="A159" s="171" t="s">
        <v>473</v>
      </c>
      <c r="B159" s="169" t="s">
        <v>435</v>
      </c>
      <c r="C159" s="169" t="s">
        <v>134</v>
      </c>
      <c r="D159" s="157" t="s">
        <v>395</v>
      </c>
      <c r="E159" s="157" t="s">
        <v>449</v>
      </c>
      <c r="F159" s="158">
        <v>148.1</v>
      </c>
      <c r="G159" s="159">
        <f t="shared" si="8"/>
        <v>15</v>
      </c>
      <c r="H159" s="159">
        <v>15</v>
      </c>
      <c r="I159" s="160">
        <f t="shared" si="9"/>
        <v>0</v>
      </c>
      <c r="J159" s="157"/>
      <c r="K159" s="157"/>
      <c r="L159" s="162"/>
    </row>
    <row r="160" spans="1:12" x14ac:dyDescent="0.25">
      <c r="A160" s="171" t="s">
        <v>473</v>
      </c>
      <c r="B160" s="169" t="s">
        <v>423</v>
      </c>
      <c r="C160" s="169" t="s">
        <v>145</v>
      </c>
      <c r="D160" s="157" t="s">
        <v>396</v>
      </c>
      <c r="E160" s="157" t="s">
        <v>432</v>
      </c>
      <c r="F160" s="158">
        <v>179.4</v>
      </c>
      <c r="G160" s="159">
        <f t="shared" si="8"/>
        <v>18</v>
      </c>
      <c r="H160" s="159">
        <v>14</v>
      </c>
      <c r="I160" s="160">
        <f t="shared" si="9"/>
        <v>-4</v>
      </c>
      <c r="J160" s="157"/>
      <c r="K160" s="157"/>
      <c r="L160" s="162"/>
    </row>
    <row r="161" spans="1:12" x14ac:dyDescent="0.25">
      <c r="A161" s="171" t="s">
        <v>473</v>
      </c>
      <c r="B161" s="169" t="s">
        <v>448</v>
      </c>
      <c r="C161" s="169" t="s">
        <v>22</v>
      </c>
      <c r="D161" s="157" t="s">
        <v>394</v>
      </c>
      <c r="E161" s="157" t="s">
        <v>464</v>
      </c>
      <c r="F161" s="158"/>
      <c r="G161" s="159" t="str">
        <f t="shared" si="8"/>
        <v/>
      </c>
      <c r="H161" s="159">
        <v>6</v>
      </c>
      <c r="I161" s="160" t="str">
        <f t="shared" si="9"/>
        <v/>
      </c>
      <c r="J161" s="157"/>
      <c r="K161" s="157" t="s">
        <v>479</v>
      </c>
      <c r="L161" s="162" t="s">
        <v>483</v>
      </c>
    </row>
    <row r="162" spans="1:12" x14ac:dyDescent="0.25">
      <c r="A162" s="171" t="s">
        <v>473</v>
      </c>
      <c r="B162" s="169" t="s">
        <v>435</v>
      </c>
      <c r="C162" s="169" t="s">
        <v>201</v>
      </c>
      <c r="D162" s="157" t="s">
        <v>395</v>
      </c>
      <c r="E162" s="157" t="s">
        <v>464</v>
      </c>
      <c r="F162" s="158"/>
      <c r="G162" s="159" t="str">
        <f t="shared" si="8"/>
        <v/>
      </c>
      <c r="H162" s="159">
        <v>15</v>
      </c>
      <c r="I162" s="160" t="str">
        <f t="shared" si="9"/>
        <v/>
      </c>
      <c r="J162" s="157"/>
      <c r="K162" s="157" t="s">
        <v>479</v>
      </c>
      <c r="L162" s="162" t="s">
        <v>483</v>
      </c>
    </row>
    <row r="163" spans="1:12" ht="15.75" thickBot="1" x14ac:dyDescent="0.3"/>
    <row r="164" spans="1:12" ht="20.100000000000001" customHeight="1" x14ac:dyDescent="0.25">
      <c r="A164" s="268" t="s">
        <v>488</v>
      </c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70"/>
    </row>
    <row r="165" spans="1:12" ht="30" customHeight="1" x14ac:dyDescent="0.25">
      <c r="A165" s="271" t="s">
        <v>474</v>
      </c>
      <c r="B165" s="272"/>
      <c r="C165" s="272"/>
      <c r="D165" s="272"/>
      <c r="E165" s="272"/>
      <c r="F165" s="272"/>
      <c r="G165" s="272"/>
      <c r="H165" s="272"/>
      <c r="I165" s="272"/>
      <c r="J165" s="272"/>
      <c r="K165" s="272"/>
      <c r="L165" s="273"/>
    </row>
    <row r="166" spans="1:12" ht="30" customHeight="1" x14ac:dyDescent="0.25">
      <c r="A166" s="260" t="s">
        <v>481</v>
      </c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2"/>
    </row>
    <row r="167" spans="1:12" ht="30" customHeight="1" x14ac:dyDescent="0.25">
      <c r="A167" s="271" t="s">
        <v>516</v>
      </c>
      <c r="B167" s="272"/>
      <c r="C167" s="272"/>
      <c r="D167" s="272"/>
      <c r="E167" s="272"/>
      <c r="F167" s="272"/>
      <c r="G167" s="272"/>
      <c r="H167" s="272"/>
      <c r="I167" s="272"/>
      <c r="J167" s="272"/>
      <c r="K167" s="272"/>
      <c r="L167" s="273"/>
    </row>
    <row r="168" spans="1:12" ht="30" customHeight="1" x14ac:dyDescent="0.25">
      <c r="A168" s="260" t="s">
        <v>509</v>
      </c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2"/>
    </row>
    <row r="169" spans="1:12" ht="30" customHeight="1" thickBot="1" x14ac:dyDescent="0.3">
      <c r="A169" s="263" t="s">
        <v>486</v>
      </c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5"/>
    </row>
  </sheetData>
  <mergeCells count="8">
    <mergeCell ref="A168:L168"/>
    <mergeCell ref="A169:L169"/>
    <mergeCell ref="A1:L1"/>
    <mergeCell ref="A2:L2"/>
    <mergeCell ref="A164:L164"/>
    <mergeCell ref="A165:L165"/>
    <mergeCell ref="A166:L166"/>
    <mergeCell ref="A167:L167"/>
  </mergeCells>
  <conditionalFormatting sqref="D4:D162">
    <cfRule type="cellIs" dxfId="131" priority="1" operator="equal">
      <formula>"QB"</formula>
    </cfRule>
    <cfRule type="cellIs" dxfId="130" priority="2" operator="equal">
      <formula>"RB"</formula>
    </cfRule>
    <cfRule type="cellIs" dxfId="129" priority="3" operator="equal">
      <formula>"WR"</formula>
    </cfRule>
    <cfRule type="cellIs" dxfId="128" priority="4" operator="equal">
      <formula>"TE"</formula>
    </cfRule>
    <cfRule type="cellIs" dxfId="127" priority="5" operator="equal">
      <formula>"K"</formula>
    </cfRule>
    <cfRule type="cellIs" dxfId="126" priority="6" operator="equal">
      <formula>"DEF"</formula>
    </cfRule>
  </conditionalFormatting>
  <conditionalFormatting sqref="I4:I162">
    <cfRule type="cellIs" dxfId="125" priority="7" operator="greaterThan">
      <formula>0</formula>
    </cfRule>
    <cfRule type="cellIs" dxfId="124" priority="8" operator="lessThan">
      <formula>0</formula>
    </cfRule>
  </conditionalFormatting>
  <conditionalFormatting sqref="J4:L162">
    <cfRule type="containsText" dxfId="123" priority="10" operator="containsText" text="★">
      <formula>NOT(ISERROR(SEARCH("★",J4)))</formula>
    </cfRule>
  </conditionalFormatting>
  <conditionalFormatting sqref="K4:L162">
    <cfRule type="expression" dxfId="122" priority="11">
      <formula>$K4&lt;&gt;""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F9CB-8E57-4234-8FC5-EA3EE0937F64}">
  <sheetPr>
    <tabColor theme="4" tint="-0.499984740745262"/>
  </sheetPr>
  <dimension ref="A1:K49"/>
  <sheetViews>
    <sheetView tabSelected="1" zoomScale="70" zoomScaleNormal="70" workbookViewId="0">
      <pane ySplit="3" topLeftCell="A4" activePane="bottomLeft" state="frozen"/>
      <selection activeCell="D1" sqref="D1"/>
      <selection pane="bottomLeft" activeCell="A48" sqref="A48:XFD48"/>
    </sheetView>
  </sheetViews>
  <sheetFormatPr defaultColWidth="9.140625" defaultRowHeight="15" x14ac:dyDescent="0.25"/>
  <cols>
    <col min="1" max="1" width="19.7109375" style="1" bestFit="1" customWidth="1"/>
    <col min="2" max="11" width="31.42578125" style="1" customWidth="1"/>
    <col min="12" max="12" width="9.140625" style="1"/>
    <col min="13" max="13" width="16.7109375" style="1" bestFit="1" customWidth="1"/>
    <col min="14" max="14" width="9.42578125" style="1" bestFit="1" customWidth="1"/>
    <col min="15" max="16384" width="9.140625" style="1"/>
  </cols>
  <sheetData>
    <row r="1" spans="1:11" ht="33.950000000000003" customHeight="1" thickBot="1" x14ac:dyDescent="0.4">
      <c r="A1" s="250"/>
      <c r="B1" s="251" t="s">
        <v>183</v>
      </c>
      <c r="C1" s="252"/>
      <c r="D1" s="252"/>
      <c r="E1" s="252"/>
      <c r="F1" s="252"/>
      <c r="G1" s="252"/>
      <c r="H1" s="252"/>
      <c r="I1" s="252"/>
      <c r="J1" s="252"/>
      <c r="K1" s="253"/>
    </row>
    <row r="2" spans="1:11" ht="33.950000000000003" customHeight="1" thickBot="1" x14ac:dyDescent="0.3">
      <c r="A2" s="250"/>
      <c r="B2" s="174" t="s">
        <v>5</v>
      </c>
      <c r="C2" s="175" t="s">
        <v>0</v>
      </c>
      <c r="D2" s="176" t="s">
        <v>3</v>
      </c>
      <c r="E2" s="175" t="s">
        <v>4</v>
      </c>
      <c r="F2" s="177" t="s">
        <v>1</v>
      </c>
      <c r="G2" s="175" t="s">
        <v>76</v>
      </c>
      <c r="H2" s="175" t="s">
        <v>185</v>
      </c>
      <c r="I2" s="175" t="s">
        <v>184</v>
      </c>
      <c r="J2" s="177" t="s">
        <v>104</v>
      </c>
      <c r="K2" s="175" t="s">
        <v>2</v>
      </c>
    </row>
    <row r="3" spans="1:11" ht="21.95" customHeight="1" thickBot="1" x14ac:dyDescent="0.3">
      <c r="A3" s="146" t="s">
        <v>404</v>
      </c>
      <c r="B3" s="148" t="s">
        <v>405</v>
      </c>
      <c r="C3" s="147" t="s">
        <v>406</v>
      </c>
      <c r="D3" s="145"/>
      <c r="E3" s="145"/>
      <c r="F3" s="145"/>
      <c r="G3" s="145"/>
      <c r="H3" s="145"/>
      <c r="I3" s="145"/>
      <c r="J3" s="145"/>
      <c r="K3" s="145"/>
    </row>
    <row r="4" spans="1:11" ht="18" customHeight="1" x14ac:dyDescent="0.25">
      <c r="A4" s="47" t="s">
        <v>6</v>
      </c>
      <c r="B4" s="178" t="s">
        <v>288</v>
      </c>
      <c r="C4" s="156" t="s">
        <v>289</v>
      </c>
      <c r="D4" s="179" t="s">
        <v>233</v>
      </c>
      <c r="E4" s="180" t="s">
        <v>358</v>
      </c>
      <c r="F4" s="155" t="s">
        <v>360</v>
      </c>
      <c r="G4" s="155" t="s">
        <v>362</v>
      </c>
      <c r="H4" s="155" t="s">
        <v>359</v>
      </c>
      <c r="I4" s="179" t="s">
        <v>291</v>
      </c>
      <c r="J4" s="155" t="s">
        <v>361</v>
      </c>
      <c r="K4" s="181" t="s">
        <v>290</v>
      </c>
    </row>
    <row r="5" spans="1:11" ht="18" customHeight="1" x14ac:dyDescent="0.25">
      <c r="A5" s="46" t="s">
        <v>11</v>
      </c>
      <c r="B5" s="182" t="s">
        <v>292</v>
      </c>
      <c r="C5" s="151" t="s">
        <v>365</v>
      </c>
      <c r="D5" s="153" t="s">
        <v>295</v>
      </c>
      <c r="E5" s="150" t="s">
        <v>363</v>
      </c>
      <c r="F5" s="150" t="s">
        <v>364</v>
      </c>
      <c r="G5" s="149" t="s">
        <v>296</v>
      </c>
      <c r="H5" s="183" t="s">
        <v>293</v>
      </c>
      <c r="I5" s="153" t="s">
        <v>294</v>
      </c>
      <c r="J5" s="152"/>
      <c r="K5" s="154" t="s">
        <v>234</v>
      </c>
    </row>
    <row r="6" spans="1:11" ht="18" customHeight="1" x14ac:dyDescent="0.25">
      <c r="A6" s="47" t="s">
        <v>14</v>
      </c>
      <c r="B6" s="55"/>
      <c r="C6" s="94" t="s">
        <v>300</v>
      </c>
      <c r="D6" s="106" t="s">
        <v>367</v>
      </c>
      <c r="E6" s="94" t="s">
        <v>297</v>
      </c>
      <c r="F6" s="94" t="s">
        <v>299</v>
      </c>
      <c r="G6" s="100" t="s">
        <v>302</v>
      </c>
      <c r="H6" s="100" t="s">
        <v>298</v>
      </c>
      <c r="I6" s="56"/>
      <c r="J6" s="94" t="s">
        <v>301</v>
      </c>
      <c r="K6" s="184" t="s">
        <v>366</v>
      </c>
    </row>
    <row r="7" spans="1:11" ht="18" customHeight="1" x14ac:dyDescent="0.25">
      <c r="A7" s="48" t="s">
        <v>16</v>
      </c>
      <c r="B7" s="102" t="s">
        <v>304</v>
      </c>
      <c r="C7" s="52"/>
      <c r="D7" s="98" t="s">
        <v>368</v>
      </c>
      <c r="E7" s="97" t="s">
        <v>303</v>
      </c>
      <c r="F7" s="97" t="s">
        <v>306</v>
      </c>
      <c r="G7" s="89" t="s">
        <v>310</v>
      </c>
      <c r="H7" s="89" t="s">
        <v>305</v>
      </c>
      <c r="I7" s="92" t="s">
        <v>308</v>
      </c>
      <c r="J7" s="89" t="s">
        <v>309</v>
      </c>
      <c r="K7" s="99" t="s">
        <v>307</v>
      </c>
    </row>
    <row r="8" spans="1:11" ht="18" customHeight="1" x14ac:dyDescent="0.25">
      <c r="A8" s="47" t="s">
        <v>18</v>
      </c>
      <c r="B8" s="53" t="s">
        <v>312</v>
      </c>
      <c r="C8" s="90" t="s">
        <v>475</v>
      </c>
      <c r="D8" s="95" t="s">
        <v>236</v>
      </c>
      <c r="E8" s="54" t="s">
        <v>311</v>
      </c>
      <c r="F8" s="100" t="s">
        <v>313</v>
      </c>
      <c r="G8" s="91" t="s">
        <v>371</v>
      </c>
      <c r="H8" s="100" t="s">
        <v>235</v>
      </c>
      <c r="I8" s="56"/>
      <c r="J8" s="98" t="s">
        <v>370</v>
      </c>
      <c r="K8" s="108" t="s">
        <v>369</v>
      </c>
    </row>
    <row r="9" spans="1:11" ht="18" customHeight="1" x14ac:dyDescent="0.25">
      <c r="A9" s="48" t="s">
        <v>21</v>
      </c>
      <c r="B9" s="102" t="s">
        <v>238</v>
      </c>
      <c r="C9" s="103" t="s">
        <v>240</v>
      </c>
      <c r="D9" s="52"/>
      <c r="E9" s="89" t="s">
        <v>237</v>
      </c>
      <c r="F9" s="103" t="s">
        <v>239</v>
      </c>
      <c r="G9" s="89" t="s">
        <v>316</v>
      </c>
      <c r="H9" s="52"/>
      <c r="I9" s="92" t="s">
        <v>315</v>
      </c>
      <c r="J9" s="52"/>
      <c r="K9" s="99" t="s">
        <v>314</v>
      </c>
    </row>
    <row r="10" spans="1:11" ht="18" customHeight="1" x14ac:dyDescent="0.25">
      <c r="A10" s="47" t="s">
        <v>23</v>
      </c>
      <c r="B10" s="55"/>
      <c r="C10" s="94" t="s">
        <v>317</v>
      </c>
      <c r="D10" s="56"/>
      <c r="E10" s="51"/>
      <c r="F10" s="107" t="s">
        <v>372</v>
      </c>
      <c r="G10" s="54" t="s">
        <v>320</v>
      </c>
      <c r="H10" s="104" t="s">
        <v>241</v>
      </c>
      <c r="I10" s="107" t="s">
        <v>373</v>
      </c>
      <c r="J10" s="93" t="s">
        <v>319</v>
      </c>
      <c r="K10" s="185" t="s">
        <v>318</v>
      </c>
    </row>
    <row r="11" spans="1:11" ht="18" customHeight="1" x14ac:dyDescent="0.25">
      <c r="A11" s="48" t="s">
        <v>25</v>
      </c>
      <c r="B11" s="57"/>
      <c r="C11" s="97" t="s">
        <v>244</v>
      </c>
      <c r="D11" s="89" t="s">
        <v>322</v>
      </c>
      <c r="E11" s="52"/>
      <c r="F11" s="89" t="s">
        <v>243</v>
      </c>
      <c r="G11" s="89" t="s">
        <v>323</v>
      </c>
      <c r="H11" s="89" t="s">
        <v>242</v>
      </c>
      <c r="I11" s="186" t="s">
        <v>374</v>
      </c>
      <c r="J11" s="97" t="s">
        <v>321</v>
      </c>
      <c r="K11" s="60"/>
    </row>
    <row r="12" spans="1:11" ht="18" customHeight="1" x14ac:dyDescent="0.25">
      <c r="A12" s="47" t="s">
        <v>27</v>
      </c>
      <c r="B12" s="88" t="s">
        <v>375</v>
      </c>
      <c r="C12" s="100" t="s">
        <v>246</v>
      </c>
      <c r="D12" s="107" t="s">
        <v>376</v>
      </c>
      <c r="E12" s="100" t="s">
        <v>245</v>
      </c>
      <c r="F12" s="54" t="s">
        <v>325</v>
      </c>
      <c r="G12" s="51"/>
      <c r="H12" s="104" t="s">
        <v>324</v>
      </c>
      <c r="I12" s="95" t="s">
        <v>247</v>
      </c>
      <c r="J12" s="51"/>
      <c r="K12" s="187" t="s">
        <v>326</v>
      </c>
    </row>
    <row r="13" spans="1:11" ht="18" customHeight="1" x14ac:dyDescent="0.25">
      <c r="A13" s="48" t="s">
        <v>30</v>
      </c>
      <c r="B13" s="96" t="s">
        <v>248</v>
      </c>
      <c r="C13" s="89" t="s">
        <v>327</v>
      </c>
      <c r="D13" s="52"/>
      <c r="E13" s="52"/>
      <c r="F13" s="52"/>
      <c r="G13" s="52"/>
      <c r="H13" s="52"/>
      <c r="I13" s="50"/>
      <c r="J13" s="91" t="s">
        <v>377</v>
      </c>
      <c r="K13" s="188" t="s">
        <v>249</v>
      </c>
    </row>
    <row r="14" spans="1:11" ht="18" customHeight="1" x14ac:dyDescent="0.25">
      <c r="A14" s="47" t="s">
        <v>32</v>
      </c>
      <c r="B14" s="55"/>
      <c r="C14" s="51"/>
      <c r="D14" s="51"/>
      <c r="E14" s="189" t="s">
        <v>250</v>
      </c>
      <c r="F14" s="51"/>
      <c r="G14" s="51"/>
      <c r="H14" s="51"/>
      <c r="I14" s="56"/>
      <c r="J14" s="189" t="s">
        <v>251</v>
      </c>
      <c r="K14" s="59"/>
    </row>
    <row r="15" spans="1:11" ht="18" customHeight="1" x14ac:dyDescent="0.25">
      <c r="A15" s="48" t="s">
        <v>33</v>
      </c>
      <c r="B15" s="57"/>
      <c r="C15" s="52"/>
      <c r="D15" s="52"/>
      <c r="E15" s="52"/>
      <c r="F15" s="52"/>
      <c r="G15" s="52"/>
      <c r="H15" s="105" t="s">
        <v>252</v>
      </c>
      <c r="I15" s="50"/>
      <c r="J15" s="89" t="s">
        <v>328</v>
      </c>
      <c r="K15" s="60"/>
    </row>
    <row r="16" spans="1:11" ht="18" customHeight="1" x14ac:dyDescent="0.25">
      <c r="A16" s="47" t="s">
        <v>34</v>
      </c>
      <c r="B16" s="55"/>
      <c r="C16" s="51"/>
      <c r="D16" s="56"/>
      <c r="E16" s="98" t="s">
        <v>378</v>
      </c>
      <c r="F16" s="51"/>
      <c r="G16" s="189" t="s">
        <v>253</v>
      </c>
      <c r="H16" s="91" t="s">
        <v>379</v>
      </c>
      <c r="I16" s="190" t="s">
        <v>330</v>
      </c>
      <c r="J16" s="51"/>
      <c r="K16" s="187" t="s">
        <v>329</v>
      </c>
    </row>
    <row r="17" spans="1:11" ht="18" customHeight="1" x14ac:dyDescent="0.25">
      <c r="A17" s="46" t="s">
        <v>37</v>
      </c>
      <c r="B17" s="191" t="s">
        <v>254</v>
      </c>
      <c r="C17" s="58" t="s">
        <v>381</v>
      </c>
      <c r="D17" s="50"/>
      <c r="E17" s="52"/>
      <c r="F17" s="89" t="s">
        <v>255</v>
      </c>
      <c r="G17" s="90" t="s">
        <v>384</v>
      </c>
      <c r="H17" s="91" t="s">
        <v>380</v>
      </c>
      <c r="I17" s="101" t="s">
        <v>382</v>
      </c>
      <c r="J17" s="90" t="s">
        <v>383</v>
      </c>
      <c r="K17" s="60"/>
    </row>
    <row r="18" spans="1:11" ht="18" customHeight="1" thickBot="1" x14ac:dyDescent="0.3">
      <c r="A18" s="47" t="s">
        <v>40</v>
      </c>
      <c r="B18" s="192" t="s">
        <v>385</v>
      </c>
      <c r="C18" s="193" t="s">
        <v>386</v>
      </c>
      <c r="D18" s="161" t="s">
        <v>388</v>
      </c>
      <c r="E18" s="61"/>
      <c r="F18" s="62"/>
      <c r="G18" s="109" t="s">
        <v>389</v>
      </c>
      <c r="H18" s="193" t="s">
        <v>476</v>
      </c>
      <c r="I18" s="194" t="s">
        <v>387</v>
      </c>
      <c r="J18" s="195"/>
      <c r="K18" s="196"/>
    </row>
    <row r="19" spans="1:11" ht="15.75" thickBot="1" x14ac:dyDescent="0.3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1.75" thickBot="1" x14ac:dyDescent="0.4">
      <c r="A20" s="5"/>
      <c r="B20" s="251" t="s">
        <v>182</v>
      </c>
      <c r="C20" s="252"/>
      <c r="D20" s="252"/>
      <c r="E20" s="252"/>
      <c r="F20" s="252"/>
      <c r="G20" s="252"/>
      <c r="H20" s="252"/>
      <c r="I20" s="252"/>
      <c r="J20" s="252"/>
      <c r="K20" s="253"/>
    </row>
    <row r="21" spans="1:11" ht="33.950000000000003" customHeight="1" thickBot="1" x14ac:dyDescent="0.3">
      <c r="A21" s="5"/>
      <c r="B21" s="36" t="s">
        <v>5</v>
      </c>
      <c r="C21" s="36" t="s">
        <v>0</v>
      </c>
      <c r="D21" s="37" t="s">
        <v>3</v>
      </c>
      <c r="E21" s="36" t="s">
        <v>4</v>
      </c>
      <c r="F21" s="38" t="s">
        <v>1</v>
      </c>
      <c r="G21" s="36" t="s">
        <v>76</v>
      </c>
      <c r="H21" s="36" t="s">
        <v>185</v>
      </c>
      <c r="I21" s="36" t="s">
        <v>184</v>
      </c>
      <c r="J21" s="38" t="s">
        <v>104</v>
      </c>
      <c r="K21" s="36" t="s">
        <v>2</v>
      </c>
    </row>
    <row r="22" spans="1:11" ht="18" customHeight="1" x14ac:dyDescent="0.25">
      <c r="A22" s="3" t="s">
        <v>403</v>
      </c>
      <c r="B22" s="197" t="s">
        <v>257</v>
      </c>
      <c r="C22" s="110" t="s">
        <v>332</v>
      </c>
      <c r="D22" s="64" t="s">
        <v>260</v>
      </c>
      <c r="E22" s="63" t="s">
        <v>256</v>
      </c>
      <c r="F22" s="64" t="s">
        <v>331</v>
      </c>
      <c r="G22" s="198" t="s">
        <v>335</v>
      </c>
      <c r="H22" s="111" t="s">
        <v>258</v>
      </c>
      <c r="I22" s="199" t="s">
        <v>259</v>
      </c>
      <c r="J22" s="64" t="s">
        <v>334</v>
      </c>
      <c r="K22" s="200" t="s">
        <v>333</v>
      </c>
    </row>
    <row r="23" spans="1:11" ht="18" customHeight="1" x14ac:dyDescent="0.25">
      <c r="A23" s="3"/>
      <c r="B23" s="112" t="s">
        <v>337</v>
      </c>
      <c r="C23" s="65" t="s">
        <v>262</v>
      </c>
      <c r="D23" s="116" t="s">
        <v>341</v>
      </c>
      <c r="E23" s="113" t="s">
        <v>336</v>
      </c>
      <c r="F23" s="114" t="s">
        <v>338</v>
      </c>
      <c r="G23" s="130" t="s">
        <v>342</v>
      </c>
      <c r="H23" s="114" t="s">
        <v>261</v>
      </c>
      <c r="I23" s="115" t="s">
        <v>263</v>
      </c>
      <c r="J23" s="131" t="s">
        <v>340</v>
      </c>
      <c r="K23" s="201" t="s">
        <v>339</v>
      </c>
    </row>
    <row r="24" spans="1:11" ht="18" customHeight="1" x14ac:dyDescent="0.25">
      <c r="A24" s="49"/>
      <c r="B24" s="202" t="s">
        <v>344</v>
      </c>
      <c r="C24" s="120" t="s">
        <v>266</v>
      </c>
      <c r="D24" s="124" t="s">
        <v>269</v>
      </c>
      <c r="E24" s="126" t="s">
        <v>343</v>
      </c>
      <c r="F24" s="121" t="s">
        <v>265</v>
      </c>
      <c r="G24" s="203" t="s">
        <v>346</v>
      </c>
      <c r="H24" s="119" t="s">
        <v>264</v>
      </c>
      <c r="I24" s="118" t="s">
        <v>268</v>
      </c>
      <c r="J24" s="123" t="s">
        <v>345</v>
      </c>
      <c r="K24" s="204" t="s">
        <v>267</v>
      </c>
    </row>
    <row r="25" spans="1:11" ht="18" customHeight="1" x14ac:dyDescent="0.25">
      <c r="A25" s="3"/>
      <c r="B25" s="205" t="s">
        <v>347</v>
      </c>
      <c r="C25" s="68"/>
      <c r="D25" s="114" t="s">
        <v>350</v>
      </c>
      <c r="E25" s="115" t="s">
        <v>270</v>
      </c>
      <c r="F25" s="125" t="s">
        <v>272</v>
      </c>
      <c r="G25" s="115" t="s">
        <v>274</v>
      </c>
      <c r="H25" s="125" t="s">
        <v>271</v>
      </c>
      <c r="I25" s="65" t="s">
        <v>349</v>
      </c>
      <c r="J25" s="114" t="s">
        <v>273</v>
      </c>
      <c r="K25" s="206" t="s">
        <v>348</v>
      </c>
    </row>
    <row r="26" spans="1:11" ht="18" customHeight="1" x14ac:dyDescent="0.25">
      <c r="A26" s="3"/>
      <c r="B26" s="117" t="s">
        <v>352</v>
      </c>
      <c r="C26" s="70"/>
      <c r="D26" s="128" t="s">
        <v>279</v>
      </c>
      <c r="E26" s="122" t="s">
        <v>351</v>
      </c>
      <c r="F26" s="119" t="s">
        <v>275</v>
      </c>
      <c r="G26" s="127" t="s">
        <v>280</v>
      </c>
      <c r="H26" s="67"/>
      <c r="I26" s="122" t="s">
        <v>277</v>
      </c>
      <c r="J26" s="124" t="s">
        <v>278</v>
      </c>
      <c r="K26" s="129" t="s">
        <v>276</v>
      </c>
    </row>
    <row r="27" spans="1:11" ht="18" customHeight="1" x14ac:dyDescent="0.25">
      <c r="A27" s="49"/>
      <c r="B27" s="112" t="s">
        <v>353</v>
      </c>
      <c r="C27" s="68"/>
      <c r="D27" s="131" t="s">
        <v>282</v>
      </c>
      <c r="E27" s="113" t="s">
        <v>281</v>
      </c>
      <c r="F27" s="66"/>
      <c r="G27" s="68"/>
      <c r="H27" s="66"/>
      <c r="I27" s="65" t="s">
        <v>354</v>
      </c>
      <c r="J27" s="116" t="s">
        <v>355</v>
      </c>
      <c r="K27" s="69"/>
    </row>
    <row r="28" spans="1:11" ht="18" customHeight="1" x14ac:dyDescent="0.25">
      <c r="A28" s="3"/>
      <c r="B28" s="132" t="s">
        <v>284</v>
      </c>
      <c r="C28" s="70"/>
      <c r="D28" s="128" t="s">
        <v>357</v>
      </c>
      <c r="E28" s="127" t="s">
        <v>283</v>
      </c>
      <c r="F28" s="67"/>
      <c r="G28" s="70"/>
      <c r="H28" s="67"/>
      <c r="I28" s="126" t="s">
        <v>356</v>
      </c>
      <c r="J28" s="119" t="s">
        <v>285</v>
      </c>
      <c r="K28" s="71"/>
    </row>
    <row r="29" spans="1:11" ht="18" customHeight="1" x14ac:dyDescent="0.25">
      <c r="A29" s="3"/>
      <c r="B29" s="72"/>
      <c r="C29" s="68"/>
      <c r="D29" s="133" t="s">
        <v>286</v>
      </c>
      <c r="E29" s="68"/>
      <c r="F29" s="66"/>
      <c r="G29" s="68"/>
      <c r="H29" s="66"/>
      <c r="I29" s="68"/>
      <c r="J29" s="66"/>
      <c r="K29" s="69"/>
    </row>
    <row r="30" spans="1:11" ht="18" customHeight="1" x14ac:dyDescent="0.25">
      <c r="A30" s="3"/>
      <c r="B30" s="73"/>
      <c r="C30" s="70"/>
      <c r="D30" s="119" t="s">
        <v>287</v>
      </c>
      <c r="E30" s="70"/>
      <c r="F30" s="67"/>
      <c r="G30" s="70"/>
      <c r="H30" s="67"/>
      <c r="I30" s="70"/>
      <c r="J30" s="67"/>
      <c r="K30" s="71"/>
    </row>
    <row r="31" spans="1:11" ht="18" customHeight="1" thickBot="1" x14ac:dyDescent="0.3">
      <c r="A31" s="3"/>
      <c r="B31" s="74"/>
      <c r="C31" s="75"/>
      <c r="D31" s="76"/>
      <c r="E31" s="75"/>
      <c r="F31" s="76"/>
      <c r="G31" s="75"/>
      <c r="H31" s="76"/>
      <c r="I31" s="75"/>
      <c r="J31" s="76"/>
      <c r="K31" s="77"/>
    </row>
    <row r="32" spans="1:11" x14ac:dyDescent="0.25">
      <c r="D32" s="3"/>
    </row>
    <row r="33" spans="1:11" ht="15.75" thickBot="1" x14ac:dyDescent="0.3">
      <c r="D33" s="3"/>
    </row>
    <row r="34" spans="1:11" ht="24" customHeight="1" x14ac:dyDescent="0.3">
      <c r="A34" s="254" t="s">
        <v>390</v>
      </c>
      <c r="B34" s="255"/>
      <c r="C34" s="255"/>
      <c r="D34" s="255"/>
      <c r="E34" s="255"/>
      <c r="F34" s="255"/>
      <c r="G34" s="255"/>
      <c r="H34" s="255"/>
      <c r="I34" s="255"/>
      <c r="J34" s="255"/>
      <c r="K34" s="256"/>
    </row>
    <row r="35" spans="1:11" ht="33.950000000000003" customHeight="1" x14ac:dyDescent="0.25">
      <c r="A35" s="39" t="s">
        <v>391</v>
      </c>
      <c r="B35" s="78" t="str">
        <f>B$2</f>
        <v>Tom
White Pool Covers</v>
      </c>
      <c r="C35" s="78" t="str">
        <f t="shared" ref="C35:K35" si="0">C$2</f>
        <v>Cory/Kevin
Jimmy Jones Cutlets</v>
      </c>
      <c r="D35" s="78" t="str">
        <f t="shared" si="0"/>
        <v>Rick
Terry Glenn</v>
      </c>
      <c r="E35" s="78" t="str">
        <f t="shared" si="0"/>
        <v>Nick
Huge Ditka</v>
      </c>
      <c r="F35" s="78" t="str">
        <f t="shared" si="0"/>
        <v>Jon
Dumpster Fire</v>
      </c>
      <c r="G35" s="78" t="str">
        <f t="shared" si="0"/>
        <v>Eric
My Ball Zach Ertz</v>
      </c>
      <c r="H35" s="78" t="str">
        <f t="shared" si="0"/>
        <v>Steve
Allen’s Wayside Furniture</v>
      </c>
      <c r="I35" s="78" t="str">
        <f t="shared" si="0"/>
        <v>Jordan
Leeroy Judkins</v>
      </c>
      <c r="J35" s="78" t="str">
        <f t="shared" si="0"/>
        <v>Mike
Run CMC</v>
      </c>
      <c r="K35" s="79" t="str">
        <f t="shared" si="0"/>
        <v>Ben
Prestige Worldwide</v>
      </c>
    </row>
    <row r="36" spans="1:11" x14ac:dyDescent="0.25">
      <c r="A36" s="40" t="s">
        <v>392</v>
      </c>
      <c r="B36" s="80">
        <f>COUNTIF(B$4:B$18,"*("&amp;$A36&amp;" - *")+COUNTIF(B$22:B$31,"*("&amp;$A36&amp;" - *")</f>
        <v>2</v>
      </c>
      <c r="C36" s="80">
        <f t="shared" ref="C36:K36" si="1">COUNTIF(C$4:C$18,"*("&amp;$A36&amp;" - *")+COUNTIF(C$22:C$31,"*("&amp;$A36&amp;" - *")</f>
        <v>2</v>
      </c>
      <c r="D36" s="80">
        <f t="shared" si="1"/>
        <v>1</v>
      </c>
      <c r="E36" s="80">
        <f t="shared" si="1"/>
        <v>2</v>
      </c>
      <c r="F36" s="80">
        <f t="shared" si="1"/>
        <v>2</v>
      </c>
      <c r="G36" s="80">
        <f t="shared" si="1"/>
        <v>2</v>
      </c>
      <c r="H36" s="80">
        <f t="shared" si="1"/>
        <v>1</v>
      </c>
      <c r="I36" s="80">
        <f t="shared" si="1"/>
        <v>3</v>
      </c>
      <c r="J36" s="80">
        <f t="shared" si="1"/>
        <v>1</v>
      </c>
      <c r="K36" s="81">
        <f t="shared" si="1"/>
        <v>2</v>
      </c>
    </row>
    <row r="37" spans="1:11" x14ac:dyDescent="0.25">
      <c r="A37" s="135" t="s">
        <v>393</v>
      </c>
      <c r="B37" s="82">
        <f t="shared" ref="B37:K41" si="2">COUNTIF(B$4:B$18,"*("&amp;$A37&amp;" - *")+COUNTIF(B$22:B$31,"*("&amp;$A37&amp;" - *")</f>
        <v>3</v>
      </c>
      <c r="C37" s="82">
        <f t="shared" si="2"/>
        <v>4</v>
      </c>
      <c r="D37" s="82">
        <f t="shared" si="2"/>
        <v>5</v>
      </c>
      <c r="E37" s="82">
        <f t="shared" si="2"/>
        <v>4</v>
      </c>
      <c r="F37" s="82">
        <f t="shared" si="2"/>
        <v>4</v>
      </c>
      <c r="G37" s="82">
        <f t="shared" si="2"/>
        <v>4</v>
      </c>
      <c r="H37" s="82">
        <f t="shared" si="2"/>
        <v>4</v>
      </c>
      <c r="I37" s="82">
        <f t="shared" si="2"/>
        <v>7</v>
      </c>
      <c r="J37" s="82">
        <f t="shared" si="2"/>
        <v>6</v>
      </c>
      <c r="K37" s="83">
        <f t="shared" si="2"/>
        <v>4</v>
      </c>
    </row>
    <row r="38" spans="1:11" x14ac:dyDescent="0.25">
      <c r="A38" s="137" t="s">
        <v>394</v>
      </c>
      <c r="B38" s="80">
        <f t="shared" si="2"/>
        <v>6</v>
      </c>
      <c r="C38" s="80">
        <f t="shared" si="2"/>
        <v>5</v>
      </c>
      <c r="D38" s="80">
        <f t="shared" si="2"/>
        <v>7</v>
      </c>
      <c r="E38" s="80">
        <f t="shared" si="2"/>
        <v>7</v>
      </c>
      <c r="F38" s="80">
        <f t="shared" si="2"/>
        <v>5</v>
      </c>
      <c r="G38" s="80">
        <f t="shared" si="2"/>
        <v>7</v>
      </c>
      <c r="H38" s="80">
        <f t="shared" si="2"/>
        <v>5</v>
      </c>
      <c r="I38" s="80">
        <f t="shared" si="2"/>
        <v>5</v>
      </c>
      <c r="J38" s="80">
        <f t="shared" si="2"/>
        <v>5</v>
      </c>
      <c r="K38" s="81">
        <f t="shared" si="2"/>
        <v>6</v>
      </c>
    </row>
    <row r="39" spans="1:11" x14ac:dyDescent="0.25">
      <c r="A39" s="139" t="s">
        <v>395</v>
      </c>
      <c r="B39" s="82">
        <f t="shared" si="2"/>
        <v>3</v>
      </c>
      <c r="C39" s="82">
        <f t="shared" si="2"/>
        <v>2</v>
      </c>
      <c r="D39" s="82">
        <f t="shared" si="2"/>
        <v>2</v>
      </c>
      <c r="E39" s="82">
        <f t="shared" si="2"/>
        <v>1</v>
      </c>
      <c r="F39" s="82">
        <f t="shared" si="2"/>
        <v>1</v>
      </c>
      <c r="G39" s="82">
        <f t="shared" si="2"/>
        <v>1</v>
      </c>
      <c r="H39" s="82">
        <f t="shared" si="2"/>
        <v>3</v>
      </c>
      <c r="I39" s="82">
        <f t="shared" si="2"/>
        <v>2</v>
      </c>
      <c r="J39" s="82">
        <f t="shared" si="2"/>
        <v>3</v>
      </c>
      <c r="K39" s="83">
        <f t="shared" si="2"/>
        <v>1</v>
      </c>
    </row>
    <row r="40" spans="1:11" x14ac:dyDescent="0.25">
      <c r="A40" s="141" t="s">
        <v>396</v>
      </c>
      <c r="B40" s="80">
        <f t="shared" si="2"/>
        <v>1</v>
      </c>
      <c r="C40" s="80">
        <f t="shared" si="2"/>
        <v>1</v>
      </c>
      <c r="D40" s="80">
        <f t="shared" si="2"/>
        <v>1</v>
      </c>
      <c r="E40" s="80">
        <f t="shared" si="2"/>
        <v>1</v>
      </c>
      <c r="F40" s="80">
        <f t="shared" si="2"/>
        <v>1</v>
      </c>
      <c r="G40" s="80">
        <f t="shared" si="2"/>
        <v>1</v>
      </c>
      <c r="H40" s="80">
        <f t="shared" si="2"/>
        <v>1</v>
      </c>
      <c r="I40" s="80">
        <f t="shared" si="2"/>
        <v>0</v>
      </c>
      <c r="J40" s="80">
        <f t="shared" si="2"/>
        <v>1</v>
      </c>
      <c r="K40" s="81">
        <f t="shared" si="2"/>
        <v>1</v>
      </c>
    </row>
    <row r="41" spans="1:11" x14ac:dyDescent="0.25">
      <c r="A41" s="143" t="s">
        <v>397</v>
      </c>
      <c r="B41" s="82">
        <f t="shared" si="2"/>
        <v>1</v>
      </c>
      <c r="C41" s="82">
        <f t="shared" si="2"/>
        <v>0</v>
      </c>
      <c r="D41" s="82">
        <f t="shared" si="2"/>
        <v>1</v>
      </c>
      <c r="E41" s="82">
        <f t="shared" si="2"/>
        <v>1</v>
      </c>
      <c r="F41" s="82">
        <f t="shared" si="2"/>
        <v>2</v>
      </c>
      <c r="G41" s="82">
        <f t="shared" si="2"/>
        <v>1</v>
      </c>
      <c r="H41" s="82">
        <f t="shared" si="2"/>
        <v>2</v>
      </c>
      <c r="I41" s="82">
        <f t="shared" si="2"/>
        <v>0</v>
      </c>
      <c r="J41" s="82">
        <f t="shared" si="2"/>
        <v>1</v>
      </c>
      <c r="K41" s="83">
        <f t="shared" si="2"/>
        <v>1</v>
      </c>
    </row>
    <row r="42" spans="1:11" x14ac:dyDescent="0.25">
      <c r="A42" s="41" t="s">
        <v>398</v>
      </c>
      <c r="B42" s="84">
        <f>SUM(B$36:B$41)</f>
        <v>16</v>
      </c>
      <c r="C42" s="84">
        <f t="shared" ref="C42:K42" si="3">SUM(C$36:C$41)</f>
        <v>14</v>
      </c>
      <c r="D42" s="84">
        <f t="shared" si="3"/>
        <v>17</v>
      </c>
      <c r="E42" s="84">
        <f t="shared" si="3"/>
        <v>16</v>
      </c>
      <c r="F42" s="84">
        <f t="shared" si="3"/>
        <v>15</v>
      </c>
      <c r="G42" s="84">
        <f t="shared" si="3"/>
        <v>16</v>
      </c>
      <c r="H42" s="84">
        <f t="shared" si="3"/>
        <v>16</v>
      </c>
      <c r="I42" s="84">
        <f t="shared" si="3"/>
        <v>17</v>
      </c>
      <c r="J42" s="84">
        <f t="shared" si="3"/>
        <v>17</v>
      </c>
      <c r="K42" s="85">
        <f t="shared" si="3"/>
        <v>15</v>
      </c>
    </row>
    <row r="43" spans="1:11" ht="15.75" thickBot="1" x14ac:dyDescent="0.3">
      <c r="A43" s="144" t="s">
        <v>506</v>
      </c>
      <c r="B43" s="86">
        <f>COUNTIF(B$4:B$18,"*★*")</f>
        <v>2</v>
      </c>
      <c r="C43" s="86">
        <f t="shared" ref="C43:K43" si="4">COUNTIF(C$4:C$18,"*★*")</f>
        <v>4</v>
      </c>
      <c r="D43" s="86">
        <f t="shared" si="4"/>
        <v>4</v>
      </c>
      <c r="E43" s="86">
        <f t="shared" si="4"/>
        <v>3</v>
      </c>
      <c r="F43" s="86">
        <f t="shared" si="4"/>
        <v>3</v>
      </c>
      <c r="G43" s="86">
        <f t="shared" si="4"/>
        <v>4</v>
      </c>
      <c r="H43" s="86">
        <f t="shared" si="4"/>
        <v>4</v>
      </c>
      <c r="I43" s="86">
        <f t="shared" si="4"/>
        <v>4</v>
      </c>
      <c r="J43" s="86">
        <f t="shared" si="4"/>
        <v>4</v>
      </c>
      <c r="K43" s="87">
        <f t="shared" si="4"/>
        <v>2</v>
      </c>
    </row>
    <row r="44" spans="1:11" ht="15.75" thickBot="1" x14ac:dyDescent="0.3"/>
    <row r="45" spans="1:11" ht="21.95" customHeight="1" x14ac:dyDescent="0.25">
      <c r="A45" s="257" t="s">
        <v>399</v>
      </c>
      <c r="B45" s="258"/>
      <c r="C45" s="258"/>
      <c r="D45" s="258"/>
      <c r="E45" s="258"/>
      <c r="F45" s="258"/>
      <c r="G45" s="258"/>
      <c r="H45" s="258"/>
      <c r="I45" s="258"/>
      <c r="J45" s="258"/>
      <c r="K45" s="259"/>
    </row>
    <row r="46" spans="1:11" x14ac:dyDescent="0.25">
      <c r="A46" s="44" t="s">
        <v>401</v>
      </c>
      <c r="B46" s="42" t="s">
        <v>392</v>
      </c>
      <c r="C46" s="134" t="s">
        <v>393</v>
      </c>
      <c r="D46" s="136" t="s">
        <v>394</v>
      </c>
      <c r="E46" s="138" t="s">
        <v>395</v>
      </c>
      <c r="F46" s="140" t="s">
        <v>396</v>
      </c>
      <c r="G46" s="142" t="s">
        <v>397</v>
      </c>
      <c r="H46" s="43"/>
      <c r="I46" s="43"/>
      <c r="J46" s="43"/>
      <c r="K46" s="45"/>
    </row>
    <row r="47" spans="1:11" x14ac:dyDescent="0.25">
      <c r="A47" s="241" t="s">
        <v>402</v>
      </c>
      <c r="B47" s="242"/>
      <c r="C47" s="242"/>
      <c r="D47" s="242"/>
      <c r="E47" s="242"/>
      <c r="F47" s="242"/>
      <c r="G47" s="242"/>
      <c r="H47" s="242"/>
      <c r="I47" s="242"/>
      <c r="J47" s="242"/>
      <c r="K47" s="243"/>
    </row>
    <row r="48" spans="1:11" x14ac:dyDescent="0.25">
      <c r="A48" s="244" t="s">
        <v>507</v>
      </c>
      <c r="B48" s="245"/>
      <c r="C48" s="245"/>
      <c r="D48" s="245"/>
      <c r="E48" s="245"/>
      <c r="F48" s="245"/>
      <c r="G48" s="245"/>
      <c r="H48" s="245"/>
      <c r="I48" s="245"/>
      <c r="J48" s="245"/>
      <c r="K48" s="246"/>
    </row>
    <row r="49" spans="1:11" ht="15.75" thickBot="1" x14ac:dyDescent="0.3">
      <c r="A49" s="247" t="s">
        <v>400</v>
      </c>
      <c r="B49" s="248"/>
      <c r="C49" s="248"/>
      <c r="D49" s="248"/>
      <c r="E49" s="248"/>
      <c r="F49" s="248"/>
      <c r="G49" s="248"/>
      <c r="H49" s="248"/>
      <c r="I49" s="248"/>
      <c r="J49" s="248"/>
      <c r="K49" s="249"/>
    </row>
  </sheetData>
  <mergeCells count="8">
    <mergeCell ref="A47:K47"/>
    <mergeCell ref="A48:K48"/>
    <mergeCell ref="A49:K49"/>
    <mergeCell ref="A1:A2"/>
    <mergeCell ref="B1:K1"/>
    <mergeCell ref="B20:K20"/>
    <mergeCell ref="A34:K34"/>
    <mergeCell ref="A45:K45"/>
  </mergeCells>
  <conditionalFormatting sqref="B4:K18">
    <cfRule type="expression" dxfId="121" priority="1">
      <formula>AND($B$3&lt;&gt;"All",B4&lt;&gt;"",ISERROR(SEARCH("("&amp;$B$3&amp;" - ",B4)))</formula>
    </cfRule>
  </conditionalFormatting>
  <conditionalFormatting sqref="B22:K31">
    <cfRule type="expression" dxfId="120" priority="2">
      <formula>AND($B$3&lt;&gt;"All",B22&lt;&gt;"",ISERROR(SEARCH("("&amp;$B$3&amp;" - ",B22)))</formula>
    </cfRule>
  </conditionalFormatting>
  <dataValidations count="1">
    <dataValidation type="list" allowBlank="1" showInputMessage="1" showErrorMessage="1" promptTitle="Spotlight position" prompt="Pick a position to spotlight; other players gray out." sqref="B3" xr:uid="{8D0A8B7A-530E-492A-A062-21F5BD32FE72}">
      <formula1>"All,QB,RB,WR,TE,K,DEF"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8645-2169-43B6-AB55-4616C25B25D5}">
  <dimension ref="A1:N27"/>
  <sheetViews>
    <sheetView workbookViewId="0">
      <pane ySplit="2" topLeftCell="A3" activePane="bottomLeft" state="frozen"/>
      <selection pane="bottomLeft" sqref="A1:K17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  <col min="17" max="17" width="23.5703125" bestFit="1" customWidth="1"/>
  </cols>
  <sheetData>
    <row r="1" spans="1:14" ht="30" customHeight="1" thickBot="1" x14ac:dyDescent="0.3">
      <c r="A1" s="274" t="s">
        <v>490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8">_xlfn.LET(_xlpm.r,_xlfn._xlws.FILTER('2026 Outlook'!$B$4:$L$162,'2026 Outlook'!$A$4:$A$162=$N$11,"no players"),_xlpm.s,_xlfn.SORTBY(_xlpm.r,MATCH(INDEX(_xlpm.r,0,3),{"QB";"RB";"WR";"TE";"K";"DEF"},0),1,INDEX(_xlpm.r,0,5),1),IF(_xlpm.s="","",_xlpm.s))</f>
        <v>Round 2</v>
      </c>
      <c r="B3" s="212" t="str">
        <v>Josh Allen</v>
      </c>
      <c r="C3" s="213" t="str">
        <v>QB</v>
      </c>
      <c r="D3" s="213" t="str">
        <v>BUF</v>
      </c>
      <c r="E3" s="214">
        <v>28.3</v>
      </c>
      <c r="F3" s="215">
        <v>3</v>
      </c>
      <c r="G3" s="215">
        <v>2</v>
      </c>
      <c r="H3" s="216">
        <v>-1</v>
      </c>
      <c r="I3" s="213" t="str">
        <v/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16</v>
      </c>
    </row>
    <row r="4" spans="1:14" x14ac:dyDescent="0.25">
      <c r="A4" s="211" t="str">
        <v>Round 1</v>
      </c>
      <c r="B4" s="212" t="str">
        <v>Bijan Robinson</v>
      </c>
      <c r="C4" s="213" t="str">
        <v>RB</v>
      </c>
      <c r="D4" s="213" t="str">
        <v>ATL</v>
      </c>
      <c r="E4" s="214">
        <v>2.2000000000000002</v>
      </c>
      <c r="F4" s="215">
        <v>1</v>
      </c>
      <c r="G4" s="215">
        <v>1</v>
      </c>
      <c r="H4" s="216">
        <v>0</v>
      </c>
      <c r="I4" s="213" t="str">
        <v>★</v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4</v>
      </c>
    </row>
    <row r="5" spans="1:14" x14ac:dyDescent="0.25">
      <c r="A5" s="211" t="str">
        <v>Round 14</v>
      </c>
      <c r="B5" s="212" t="str">
        <v>Kyren Williams</v>
      </c>
      <c r="C5" s="213" t="str">
        <v>RB</v>
      </c>
      <c r="D5" s="213" t="str">
        <v>LAR</v>
      </c>
      <c r="E5" s="214">
        <v>30.9</v>
      </c>
      <c r="F5" s="215">
        <v>4</v>
      </c>
      <c r="G5" s="215">
        <v>14</v>
      </c>
      <c r="H5" s="216">
        <v>10</v>
      </c>
      <c r="I5" s="213" t="str">
        <v>★</v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70.107142857142861</v>
      </c>
    </row>
    <row r="6" spans="1:14" x14ac:dyDescent="0.25">
      <c r="A6" s="211" t="str">
        <v>Round 13</v>
      </c>
      <c r="B6" s="212" t="str">
        <v>David Montgomery</v>
      </c>
      <c r="C6" s="213" t="str">
        <v>RB</v>
      </c>
      <c r="D6" s="213" t="str">
        <v>HOU</v>
      </c>
      <c r="E6" s="214">
        <v>55.1</v>
      </c>
      <c r="F6" s="215">
        <v>6</v>
      </c>
      <c r="G6" s="215">
        <v>13</v>
      </c>
      <c r="H6" s="216">
        <v>7</v>
      </c>
      <c r="I6" s="213" t="str">
        <v>★</v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10</v>
      </c>
    </row>
    <row r="7" spans="1:14" x14ac:dyDescent="0.25">
      <c r="A7" s="211" t="str">
        <v>Waiver add</v>
      </c>
      <c r="B7" s="212" t="str">
        <v>Kareem Hunt</v>
      </c>
      <c r="C7" s="213" t="str">
        <v>RB</v>
      </c>
      <c r="D7" s="213" t="str">
        <v>KC</v>
      </c>
      <c r="E7" s="214" t="str">
        <v/>
      </c>
      <c r="F7" s="215" t="str">
        <v/>
      </c>
      <c r="G7" s="215">
        <v>15</v>
      </c>
      <c r="H7" s="216" t="str">
        <v/>
      </c>
      <c r="I7" s="213" t="str">
        <v/>
      </c>
      <c r="J7" s="213" t="str">
        <v>NA</v>
      </c>
      <c r="K7" s="217" t="str">
        <v>Undrafted in mocks</v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Kyren Williams</v>
      </c>
    </row>
    <row r="8" spans="1:14" x14ac:dyDescent="0.25">
      <c r="A8" s="211" t="str">
        <v>Round 5</v>
      </c>
      <c r="B8" s="212" t="str">
        <v>Zay Flowers</v>
      </c>
      <c r="C8" s="213" t="str">
        <v>WR</v>
      </c>
      <c r="D8" s="213" t="str">
        <v>BAL</v>
      </c>
      <c r="E8" s="214">
        <v>27.6</v>
      </c>
      <c r="F8" s="215">
        <v>3</v>
      </c>
      <c r="G8" s="215">
        <v>5</v>
      </c>
      <c r="H8" s="216">
        <v>2</v>
      </c>
      <c r="I8" s="213" t="str">
        <v/>
      </c>
      <c r="J8" s="213" t="str">
        <v/>
      </c>
      <c r="K8" s="217" t="str">
        <v/>
      </c>
      <c r="M8" s="225" t="s">
        <v>496</v>
      </c>
      <c r="N8" s="228">
        <f>COUNTIFS('2026 Outlook'!$A$4:$A$162,$N$11,'2026 Outlook'!$F$4:$F$162,"")</f>
        <v>2</v>
      </c>
    </row>
    <row r="9" spans="1:14" ht="15.75" thickBot="1" x14ac:dyDescent="0.3">
      <c r="A9" s="211" t="str">
        <v>Round 3</v>
      </c>
      <c r="B9" s="212" t="str">
        <v>Davante Adams</v>
      </c>
      <c r="C9" s="213" t="str">
        <v>WR</v>
      </c>
      <c r="D9" s="213" t="str">
        <v>LAR</v>
      </c>
      <c r="E9" s="214">
        <v>38.1</v>
      </c>
      <c r="F9" s="215">
        <v>4</v>
      </c>
      <c r="G9" s="215">
        <v>3</v>
      </c>
      <c r="H9" s="216">
        <v>-1</v>
      </c>
      <c r="I9" s="213" t="str">
        <v/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1</v>
      </c>
    </row>
    <row r="10" spans="1:14" x14ac:dyDescent="0.25">
      <c r="A10" s="211" t="str">
        <v>Round 15</v>
      </c>
      <c r="B10" s="212" t="str">
        <v>Jameson Williams</v>
      </c>
      <c r="C10" s="213" t="str">
        <v>WR</v>
      </c>
      <c r="D10" s="213" t="str">
        <v>DET</v>
      </c>
      <c r="E10" s="214">
        <v>42.2</v>
      </c>
      <c r="F10" s="215">
        <v>5</v>
      </c>
      <c r="G10" s="215">
        <v>15</v>
      </c>
      <c r="H10" s="216">
        <v>10</v>
      </c>
      <c r="I10" s="213" t="str">
        <v>★</v>
      </c>
      <c r="J10" s="213" t="str">
        <v/>
      </c>
      <c r="K10" s="217" t="str">
        <v/>
      </c>
    </row>
    <row r="11" spans="1:14" x14ac:dyDescent="0.25">
      <c r="A11" s="211" t="str">
        <v>Round 8</v>
      </c>
      <c r="B11" s="212" t="str">
        <v>Michael Pittman Jr.</v>
      </c>
      <c r="C11" s="213" t="str">
        <v>WR</v>
      </c>
      <c r="D11" s="213" t="str">
        <v>PIT</v>
      </c>
      <c r="E11" s="214">
        <v>78.7</v>
      </c>
      <c r="F11" s="215">
        <v>8</v>
      </c>
      <c r="G11" s="215">
        <v>8</v>
      </c>
      <c r="H11" s="216">
        <v>0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415</v>
      </c>
    </row>
    <row r="12" spans="1:14" x14ac:dyDescent="0.25">
      <c r="A12" s="211" t="str">
        <v>Round 4</v>
      </c>
      <c r="B12" s="212" t="str">
        <v>Xavier Worthy</v>
      </c>
      <c r="C12" s="213" t="str">
        <v>WR</v>
      </c>
      <c r="D12" s="213" t="str">
        <v>KC</v>
      </c>
      <c r="E12" s="214">
        <v>93.2</v>
      </c>
      <c r="F12" s="215">
        <v>10</v>
      </c>
      <c r="G12" s="215">
        <v>4</v>
      </c>
      <c r="H12" s="216">
        <v>-6</v>
      </c>
      <c r="I12" s="213" t="str">
        <v/>
      </c>
      <c r="J12" s="213" t="str">
        <v/>
      </c>
      <c r="K12" s="217" t="str">
        <v/>
      </c>
    </row>
    <row r="13" spans="1:14" x14ac:dyDescent="0.25">
      <c r="A13" s="211" t="str">
        <v>Round 9</v>
      </c>
      <c r="B13" s="212" t="str">
        <v>Tucker Kraft</v>
      </c>
      <c r="C13" s="213" t="str">
        <v>TE</v>
      </c>
      <c r="D13" s="213" t="str">
        <v>GB</v>
      </c>
      <c r="E13" s="214">
        <v>79.400000000000006</v>
      </c>
      <c r="F13" s="215">
        <v>8</v>
      </c>
      <c r="G13" s="215">
        <v>9</v>
      </c>
      <c r="H13" s="216">
        <v>1</v>
      </c>
      <c r="I13" s="213" t="str">
        <v/>
      </c>
      <c r="J13" s="213" t="str">
        <v/>
      </c>
      <c r="K13" s="217" t="str">
        <v/>
      </c>
    </row>
    <row r="14" spans="1:14" x14ac:dyDescent="0.25">
      <c r="A14" s="211" t="str">
        <v>Round 7</v>
      </c>
      <c r="B14" s="212" t="str">
        <v>Mark Andrews</v>
      </c>
      <c r="C14" s="213" t="str">
        <v>TE</v>
      </c>
      <c r="D14" s="213" t="str">
        <v>BAL</v>
      </c>
      <c r="E14" s="214">
        <v>125.2</v>
      </c>
      <c r="F14" s="215">
        <v>13</v>
      </c>
      <c r="G14" s="215">
        <v>7</v>
      </c>
      <c r="H14" s="216">
        <v>-6</v>
      </c>
      <c r="I14" s="213" t="str">
        <v/>
      </c>
      <c r="J14" s="213" t="str">
        <v/>
      </c>
      <c r="K14" s="217" t="str">
        <v/>
      </c>
    </row>
    <row r="15" spans="1:14" x14ac:dyDescent="0.25">
      <c r="A15" s="211" t="str">
        <v>Waiver add</v>
      </c>
      <c r="B15" s="212" t="str">
        <v>Dalton Kincaid</v>
      </c>
      <c r="C15" s="213" t="str">
        <v>TE</v>
      </c>
      <c r="D15" s="213" t="str">
        <v>BUF</v>
      </c>
      <c r="E15" s="214">
        <v>143.30000000000001</v>
      </c>
      <c r="F15" s="215">
        <v>15</v>
      </c>
      <c r="G15" s="215">
        <v>15</v>
      </c>
      <c r="H15" s="216">
        <v>0</v>
      </c>
      <c r="I15" s="213" t="str">
        <v/>
      </c>
      <c r="J15" s="213" t="str">
        <v/>
      </c>
      <c r="K15" s="217" t="str">
        <v/>
      </c>
    </row>
    <row r="16" spans="1:14" x14ac:dyDescent="0.25">
      <c r="A16" s="211" t="str">
        <v>Round 12</v>
      </c>
      <c r="B16" s="212" t="str">
        <v>Jake Bates</v>
      </c>
      <c r="C16" s="213" t="str">
        <v>K</v>
      </c>
      <c r="D16" s="213" t="str">
        <v>DET</v>
      </c>
      <c r="E16" s="214">
        <v>150.4</v>
      </c>
      <c r="F16" s="215">
        <v>16</v>
      </c>
      <c r="G16" s="215">
        <v>12</v>
      </c>
      <c r="H16" s="216">
        <v>-4</v>
      </c>
      <c r="I16" s="213" t="str">
        <v/>
      </c>
      <c r="J16" s="213" t="str">
        <v/>
      </c>
      <c r="K16" s="217" t="str">
        <v/>
      </c>
    </row>
    <row r="17" spans="1:11" x14ac:dyDescent="0.25">
      <c r="A17" s="211" t="str">
        <v>Waiver add</v>
      </c>
      <c r="B17" s="212" t="str">
        <v>Seahawks</v>
      </c>
      <c r="C17" s="213" t="str">
        <v>DEF</v>
      </c>
      <c r="D17" s="213" t="str">
        <v>SEA</v>
      </c>
      <c r="E17" s="214">
        <v>86.9</v>
      </c>
      <c r="F17" s="215">
        <v>9</v>
      </c>
      <c r="G17" s="215">
        <v>15</v>
      </c>
      <c r="H17" s="216">
        <v>6</v>
      </c>
      <c r="I17" s="213" t="str">
        <v/>
      </c>
      <c r="J17" s="213" t="str">
        <v/>
      </c>
      <c r="K17" s="217" t="str">
        <v/>
      </c>
    </row>
    <row r="18" spans="1:11" ht="15.75" thickBot="1" x14ac:dyDescent="0.3">
      <c r="A18" s="218" t="str">
        <v>Waiver add</v>
      </c>
      <c r="B18" s="219" t="str">
        <v>Saints</v>
      </c>
      <c r="C18" s="220" t="str">
        <v>DEF</v>
      </c>
      <c r="D18" s="220" t="str">
        <v>NO</v>
      </c>
      <c r="E18" s="221" t="str">
        <v/>
      </c>
      <c r="F18" s="222" t="str">
        <v/>
      </c>
      <c r="G18" s="222">
        <v>15</v>
      </c>
      <c r="H18" s="223" t="str">
        <v/>
      </c>
      <c r="I18" s="220" t="str">
        <v/>
      </c>
      <c r="J18" s="220" t="str">
        <v/>
      </c>
      <c r="K18" s="224" t="str">
        <v/>
      </c>
    </row>
    <row r="19" spans="1:11" ht="15.75" thickBot="1" x14ac:dyDescent="0.3">
      <c r="A19" s="169"/>
      <c r="B19" s="173"/>
      <c r="C19" s="157"/>
      <c r="D19" s="157"/>
      <c r="E19" s="158"/>
      <c r="F19" s="159"/>
      <c r="G19" s="159"/>
      <c r="H19" s="160"/>
      <c r="I19" s="157"/>
      <c r="J19" s="157"/>
      <c r="K19" s="157"/>
    </row>
    <row r="20" spans="1:11" ht="20.100000000000001" customHeight="1" x14ac:dyDescent="0.25">
      <c r="A20" s="275" t="s">
        <v>513</v>
      </c>
      <c r="B20" s="276"/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x14ac:dyDescent="0.25">
      <c r="A21" s="231" t="s">
        <v>392</v>
      </c>
      <c r="B21" s="232">
        <f>COUNTIFS('2026 Outlook'!$A$4:$A$162,$N$11,'2026 Outlook'!$D$4:$D$162,"QB")</f>
        <v>1</v>
      </c>
    </row>
    <row r="22" spans="1:11" x14ac:dyDescent="0.25">
      <c r="A22" s="233" t="s">
        <v>393</v>
      </c>
      <c r="B22" s="234">
        <f>COUNTIFS('2026 Outlook'!$A$4:$A$162,$N$11,'2026 Outlook'!$D$4:$D$162,"RB")</f>
        <v>4</v>
      </c>
    </row>
    <row r="23" spans="1:11" x14ac:dyDescent="0.25">
      <c r="A23" s="235" t="s">
        <v>394</v>
      </c>
      <c r="B23" s="232">
        <f>COUNTIFS('2026 Outlook'!$A$4:$A$162,$N$11,'2026 Outlook'!$D$4:$D$162,"WR")</f>
        <v>5</v>
      </c>
    </row>
    <row r="24" spans="1:11" x14ac:dyDescent="0.25">
      <c r="A24" s="236" t="s">
        <v>395</v>
      </c>
      <c r="B24" s="234">
        <f>COUNTIFS('2026 Outlook'!$A$4:$A$162,$N$11,'2026 Outlook'!$D$4:$D$162,"TE")</f>
        <v>3</v>
      </c>
    </row>
    <row r="25" spans="1:11" x14ac:dyDescent="0.25">
      <c r="A25" s="237" t="s">
        <v>396</v>
      </c>
      <c r="B25" s="232">
        <f>COUNTIFS('2026 Outlook'!$A$4:$A$162,$N$11,'2026 Outlook'!$D$4:$D$162,"K")</f>
        <v>1</v>
      </c>
    </row>
    <row r="26" spans="1:11" x14ac:dyDescent="0.25">
      <c r="A26" s="238" t="s">
        <v>397</v>
      </c>
      <c r="B26" s="234">
        <f>COUNTIFS('2026 Outlook'!$A$4:$A$162,$N$11,'2026 Outlook'!$D$4:$D$162,"DEF")</f>
        <v>2</v>
      </c>
    </row>
    <row r="27" spans="1:11" ht="15.75" thickBot="1" x14ac:dyDescent="0.3">
      <c r="A27" s="239" t="s">
        <v>514</v>
      </c>
      <c r="B27" s="240">
        <f>SUM(B21:B26)</f>
        <v>16</v>
      </c>
    </row>
  </sheetData>
  <mergeCells count="3">
    <mergeCell ref="A1:K1"/>
    <mergeCell ref="M2:N2"/>
    <mergeCell ref="A20:B20"/>
  </mergeCells>
  <conditionalFormatting sqref="A3:K19 C20:K20">
    <cfRule type="expression" dxfId="119" priority="11">
      <formula>AND($B3&lt;&gt;"",MOD(ROW(),2)=0)</formula>
    </cfRule>
  </conditionalFormatting>
  <conditionalFormatting sqref="A4:K18">
    <cfRule type="expression" dxfId="118" priority="12">
      <formula>AND($C4&lt;&gt;"",$C4&lt;&gt;$C3)</formula>
    </cfRule>
  </conditionalFormatting>
  <conditionalFormatting sqref="C3:C20">
    <cfRule type="cellIs" dxfId="117" priority="1" operator="equal">
      <formula>"QB"</formula>
    </cfRule>
    <cfRule type="cellIs" dxfId="116" priority="2" operator="equal">
      <formula>"RB"</formula>
    </cfRule>
    <cfRule type="cellIs" dxfId="115" priority="3" operator="equal">
      <formula>"WR"</formula>
    </cfRule>
    <cfRule type="cellIs" dxfId="114" priority="4" operator="equal">
      <formula>"TE"</formula>
    </cfRule>
    <cfRule type="cellIs" dxfId="113" priority="5" operator="equal">
      <formula>"K"</formula>
    </cfRule>
    <cfRule type="cellIs" dxfId="112" priority="6" operator="equal">
      <formula>"DEF"</formula>
    </cfRule>
  </conditionalFormatting>
  <conditionalFormatting sqref="H3:H20">
    <cfRule type="cellIs" dxfId="111" priority="7" operator="greaterThan">
      <formula>0</formula>
    </cfRule>
    <cfRule type="cellIs" dxfId="110" priority="8" operator="lessThan">
      <formula>0</formula>
    </cfRule>
  </conditionalFormatting>
  <conditionalFormatting sqref="I3:I20">
    <cfRule type="containsText" dxfId="109" priority="9" operator="containsText" text="★">
      <formula>NOT(ISERROR(SEARCH("★",I3)))</formula>
    </cfRule>
  </conditionalFormatting>
  <conditionalFormatting sqref="J3:J20">
    <cfRule type="expression" dxfId="108" priority="10">
      <formula>$J3&lt;&gt;""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0A3D-A860-4FF6-AEB5-BE62C8EA6A2C}">
  <dimension ref="A1:N26"/>
  <sheetViews>
    <sheetView workbookViewId="0">
      <pane ySplit="2" topLeftCell="A3" activePane="bottomLeft" state="frozen"/>
      <selection pane="bottomLeft" activeCell="F22" sqref="F22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515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7">_xlfn.LET(_xlpm.r,_xlfn._xlws.FILTER('2026 Outlook'!$B$4:$L$162,'2026 Outlook'!$A$4:$A$162=$N$11,"no players"),_xlpm.s,_xlfn.SORTBY(_xlpm.r,MATCH(INDEX(_xlpm.r,0,3),{"QB";"RB";"WR";"TE";"K";"DEF"},0),1,INDEX(_xlpm.r,0,5),1),IF(_xlpm.s="","",_xlpm.s))</f>
        <v>Round 9</v>
      </c>
      <c r="B3" s="212" t="str">
        <v>Justin Herbert</v>
      </c>
      <c r="C3" s="213" t="str">
        <v>QB</v>
      </c>
      <c r="D3" s="213" t="str">
        <v>LAC</v>
      </c>
      <c r="E3" s="214">
        <v>81</v>
      </c>
      <c r="F3" s="215">
        <v>9</v>
      </c>
      <c r="G3" s="215">
        <v>9</v>
      </c>
      <c r="H3" s="216">
        <v>0</v>
      </c>
      <c r="I3" s="213" t="str">
        <v/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15</v>
      </c>
    </row>
    <row r="4" spans="1:14" x14ac:dyDescent="0.25">
      <c r="A4" s="211" t="str">
        <v>Waiver add</v>
      </c>
      <c r="B4" s="212" t="str">
        <v>Caleb Williams</v>
      </c>
      <c r="C4" s="213" t="str">
        <v>QB</v>
      </c>
      <c r="D4" s="213" t="str">
        <v>CHI</v>
      </c>
      <c r="E4" s="214">
        <v>100</v>
      </c>
      <c r="F4" s="215">
        <v>10</v>
      </c>
      <c r="G4" s="215">
        <v>15</v>
      </c>
      <c r="H4" s="216">
        <v>5</v>
      </c>
      <c r="I4" s="213" t="str">
        <v/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3</v>
      </c>
    </row>
    <row r="5" spans="1:14" x14ac:dyDescent="0.25">
      <c r="A5" s="211" t="str">
        <v>Round 1</v>
      </c>
      <c r="B5" s="212" t="str">
        <v>Jahmyr Gibbs</v>
      </c>
      <c r="C5" s="213" t="str">
        <v>RB</v>
      </c>
      <c r="D5" s="213" t="str">
        <v>DET</v>
      </c>
      <c r="E5" s="214">
        <v>1.5</v>
      </c>
      <c r="F5" s="215">
        <v>1</v>
      </c>
      <c r="G5" s="215">
        <v>1</v>
      </c>
      <c r="H5" s="216">
        <v>0</v>
      </c>
      <c r="I5" s="213" t="str">
        <v>★</v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84.039999999999992</v>
      </c>
    </row>
    <row r="6" spans="1:14" x14ac:dyDescent="0.25">
      <c r="A6" s="211" t="str">
        <v>Round 3</v>
      </c>
      <c r="B6" s="212" t="str">
        <v>Kenneth Walker III</v>
      </c>
      <c r="C6" s="213" t="str">
        <v>RB</v>
      </c>
      <c r="D6" s="213" t="str">
        <v>KC</v>
      </c>
      <c r="E6" s="214">
        <v>18.600000000000001</v>
      </c>
      <c r="F6" s="215">
        <v>2</v>
      </c>
      <c r="G6" s="215">
        <v>3</v>
      </c>
      <c r="H6" s="216">
        <v>1</v>
      </c>
      <c r="I6" s="213" t="str">
        <v/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5</v>
      </c>
    </row>
    <row r="7" spans="1:14" x14ac:dyDescent="0.25">
      <c r="A7" s="211" t="str">
        <v>Round 4</v>
      </c>
      <c r="B7" s="212" t="str">
        <v>Tony Pollard</v>
      </c>
      <c r="C7" s="213" t="str">
        <v>RB</v>
      </c>
      <c r="D7" s="213" t="str">
        <v>TEN</v>
      </c>
      <c r="E7" s="214">
        <v>69.400000000000006</v>
      </c>
      <c r="F7" s="215">
        <v>7</v>
      </c>
      <c r="G7" s="215">
        <v>4</v>
      </c>
      <c r="H7" s="216">
        <v>-3</v>
      </c>
      <c r="I7" s="213" t="str">
        <v/>
      </c>
      <c r="J7" s="213" t="str">
        <v/>
      </c>
      <c r="K7" s="217" t="str">
        <v/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Caleb Williams</v>
      </c>
    </row>
    <row r="8" spans="1:14" x14ac:dyDescent="0.25">
      <c r="A8" s="211" t="str">
        <v>Waiver add</v>
      </c>
      <c r="B8" s="212" t="str">
        <v>Kenny Gainwell</v>
      </c>
      <c r="C8" s="213" t="str">
        <v>RB</v>
      </c>
      <c r="D8" s="213" t="str">
        <v>TB</v>
      </c>
      <c r="E8" s="214">
        <v>108.6</v>
      </c>
      <c r="F8" s="215">
        <v>11</v>
      </c>
      <c r="G8" s="215">
        <v>15</v>
      </c>
      <c r="H8" s="216">
        <v>4</v>
      </c>
      <c r="I8" s="213" t="str">
        <v/>
      </c>
      <c r="J8" s="213" t="str">
        <v/>
      </c>
      <c r="K8" s="217" t="str">
        <v/>
      </c>
      <c r="M8" s="225" t="s">
        <v>496</v>
      </c>
      <c r="N8" s="228">
        <f>COUNTIFS('2026 Outlook'!$A$4:$A$162,$N$11,'2026 Outlook'!$F$4:$F$162,"")</f>
        <v>0</v>
      </c>
    </row>
    <row r="9" spans="1:14" ht="15.75" thickBot="1" x14ac:dyDescent="0.3">
      <c r="A9" s="211" t="str">
        <v>Round 2</v>
      </c>
      <c r="B9" s="212" t="str">
        <v>Drake London</v>
      </c>
      <c r="C9" s="213" t="str">
        <v>WR</v>
      </c>
      <c r="D9" s="213" t="str">
        <v>ATL</v>
      </c>
      <c r="E9" s="214">
        <v>12.8</v>
      </c>
      <c r="F9" s="215">
        <v>2</v>
      </c>
      <c r="G9" s="215">
        <v>2</v>
      </c>
      <c r="H9" s="216">
        <v>0</v>
      </c>
      <c r="I9" s="213" t="str">
        <v>★</v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0</v>
      </c>
    </row>
    <row r="10" spans="1:14" x14ac:dyDescent="0.25">
      <c r="A10" s="211" t="str">
        <v>Round 7</v>
      </c>
      <c r="B10" s="212" t="str">
        <v>DeVonta Smith</v>
      </c>
      <c r="C10" s="213" t="str">
        <v>WR</v>
      </c>
      <c r="D10" s="213" t="str">
        <v>PHI</v>
      </c>
      <c r="E10" s="214">
        <v>29.9</v>
      </c>
      <c r="F10" s="215">
        <v>3</v>
      </c>
      <c r="G10" s="215">
        <v>7</v>
      </c>
      <c r="H10" s="216">
        <v>4</v>
      </c>
      <c r="I10" s="213" t="str">
        <v>★</v>
      </c>
      <c r="J10" s="213" t="str">
        <v/>
      </c>
      <c r="K10" s="217" t="str">
        <v/>
      </c>
    </row>
    <row r="11" spans="1:14" x14ac:dyDescent="0.25">
      <c r="A11" s="211" t="str">
        <v>Round 5</v>
      </c>
      <c r="B11" s="212" t="str">
        <v>Rome Odunze</v>
      </c>
      <c r="C11" s="213" t="str">
        <v>WR</v>
      </c>
      <c r="D11" s="213" t="str">
        <v>CHI</v>
      </c>
      <c r="E11" s="214">
        <v>52.2</v>
      </c>
      <c r="F11" s="215">
        <v>6</v>
      </c>
      <c r="G11" s="215">
        <v>5</v>
      </c>
      <c r="H11" s="216">
        <v>-1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442</v>
      </c>
    </row>
    <row r="12" spans="1:14" x14ac:dyDescent="0.25">
      <c r="A12" s="211" t="str">
        <v>Round 14</v>
      </c>
      <c r="B12" s="212" t="str">
        <v>Wan'Dale Robinson</v>
      </c>
      <c r="C12" s="213" t="str">
        <v>WR</v>
      </c>
      <c r="D12" s="213" t="str">
        <v>TEN</v>
      </c>
      <c r="E12" s="214">
        <v>98.8</v>
      </c>
      <c r="F12" s="215">
        <v>10</v>
      </c>
      <c r="G12" s="215">
        <v>14</v>
      </c>
      <c r="H12" s="216">
        <v>4</v>
      </c>
      <c r="I12" s="213" t="str">
        <v/>
      </c>
      <c r="J12" s="213" t="str">
        <v/>
      </c>
      <c r="K12" s="217" t="str">
        <v/>
      </c>
    </row>
    <row r="13" spans="1:14" x14ac:dyDescent="0.25">
      <c r="A13" s="211" t="str">
        <v>Round 8</v>
      </c>
      <c r="B13" s="212" t="str">
        <v>Rashid Shaheed</v>
      </c>
      <c r="C13" s="213" t="str">
        <v>WR</v>
      </c>
      <c r="D13" s="213" t="str">
        <v>SEA</v>
      </c>
      <c r="E13" s="214">
        <v>120</v>
      </c>
      <c r="F13" s="215">
        <v>12</v>
      </c>
      <c r="G13" s="215">
        <v>8</v>
      </c>
      <c r="H13" s="216">
        <v>-4</v>
      </c>
      <c r="I13" s="213" t="str">
        <v/>
      </c>
      <c r="J13" s="213" t="str">
        <v/>
      </c>
      <c r="K13" s="217" t="str">
        <v/>
      </c>
    </row>
    <row r="14" spans="1:14" x14ac:dyDescent="0.25">
      <c r="A14" s="211" t="str">
        <v>Round 6</v>
      </c>
      <c r="B14" s="212" t="str">
        <v>Dallas Goedert</v>
      </c>
      <c r="C14" s="213" t="str">
        <v>TE</v>
      </c>
      <c r="D14" s="213" t="str">
        <v>PHI</v>
      </c>
      <c r="E14" s="214">
        <v>128.6</v>
      </c>
      <c r="F14" s="215">
        <v>13</v>
      </c>
      <c r="G14" s="215">
        <v>6</v>
      </c>
      <c r="H14" s="216">
        <v>-7</v>
      </c>
      <c r="I14" s="213" t="str">
        <v/>
      </c>
      <c r="J14" s="213" t="str">
        <v/>
      </c>
      <c r="K14" s="217" t="str">
        <v/>
      </c>
    </row>
    <row r="15" spans="1:14" x14ac:dyDescent="0.25">
      <c r="A15" s="211" t="str">
        <v>Waiver add</v>
      </c>
      <c r="B15" s="212" t="str">
        <v>Andy Borregales</v>
      </c>
      <c r="C15" s="213" t="str">
        <v>K</v>
      </c>
      <c r="D15" s="213" t="str">
        <v>NE</v>
      </c>
      <c r="E15" s="214">
        <v>146.69999999999999</v>
      </c>
      <c r="F15" s="215">
        <v>15</v>
      </c>
      <c r="G15" s="215">
        <v>15</v>
      </c>
      <c r="H15" s="216">
        <v>0</v>
      </c>
      <c r="I15" s="213" t="str">
        <v/>
      </c>
      <c r="J15" s="213" t="str">
        <v/>
      </c>
      <c r="K15" s="217" t="str">
        <v/>
      </c>
    </row>
    <row r="16" spans="1:14" x14ac:dyDescent="0.25">
      <c r="A16" s="211" t="str">
        <v>Waiver add</v>
      </c>
      <c r="B16" s="212" t="str">
        <v>Lions</v>
      </c>
      <c r="C16" s="213" t="str">
        <v>DEF</v>
      </c>
      <c r="D16" s="213" t="str">
        <v>DET</v>
      </c>
      <c r="E16" s="214">
        <v>131.69999999999999</v>
      </c>
      <c r="F16" s="215">
        <v>14</v>
      </c>
      <c r="G16" s="215">
        <v>15</v>
      </c>
      <c r="H16" s="216">
        <v>1</v>
      </c>
      <c r="I16" s="213" t="str">
        <v/>
      </c>
      <c r="J16" s="213" t="str">
        <v/>
      </c>
      <c r="K16" s="217" t="str">
        <v/>
      </c>
    </row>
    <row r="17" spans="1:11" ht="15.75" thickBot="1" x14ac:dyDescent="0.3">
      <c r="A17" s="218" t="str">
        <v>Waiver add</v>
      </c>
      <c r="B17" s="219" t="str">
        <v>Chargers</v>
      </c>
      <c r="C17" s="220" t="str">
        <v>DEF</v>
      </c>
      <c r="D17" s="220" t="str">
        <v>LAC</v>
      </c>
      <c r="E17" s="221">
        <v>160.80000000000001</v>
      </c>
      <c r="F17" s="222">
        <v>17</v>
      </c>
      <c r="G17" s="222">
        <v>15</v>
      </c>
      <c r="H17" s="223">
        <v>-2</v>
      </c>
      <c r="I17" s="220" t="str">
        <v/>
      </c>
      <c r="J17" s="220" t="str">
        <v/>
      </c>
      <c r="K17" s="224" t="str">
        <v/>
      </c>
    </row>
    <row r="18" spans="1:11" ht="15.75" thickBot="1" x14ac:dyDescent="0.3">
      <c r="A18" s="169"/>
      <c r="B18" s="173"/>
      <c r="C18" s="157"/>
      <c r="D18" s="157"/>
      <c r="E18" s="158"/>
      <c r="F18" s="159"/>
      <c r="G18" s="159"/>
      <c r="H18" s="160"/>
      <c r="I18" s="157"/>
      <c r="J18" s="157"/>
      <c r="K18" s="157"/>
    </row>
    <row r="19" spans="1:11" ht="20.100000000000001" customHeight="1" x14ac:dyDescent="0.25">
      <c r="A19" s="275" t="s">
        <v>513</v>
      </c>
      <c r="B19" s="276"/>
      <c r="C19" s="157"/>
      <c r="D19" s="157"/>
      <c r="E19" s="158"/>
      <c r="F19" s="159"/>
      <c r="G19" s="159"/>
      <c r="H19" s="160"/>
      <c r="I19" s="157"/>
      <c r="J19" s="157"/>
      <c r="K19" s="157"/>
    </row>
    <row r="20" spans="1:11" x14ac:dyDescent="0.25">
      <c r="A20" s="231" t="s">
        <v>392</v>
      </c>
      <c r="B20" s="232">
        <f>COUNTIFS('2026 Outlook'!$A$4:$A$162,$N$11,'2026 Outlook'!$D$4:$D$162,"QB")</f>
        <v>2</v>
      </c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x14ac:dyDescent="0.25">
      <c r="A21" s="233" t="s">
        <v>393</v>
      </c>
      <c r="B21" s="234">
        <f>COUNTIFS('2026 Outlook'!$A$4:$A$162,$N$11,'2026 Outlook'!$D$4:$D$162,"RB")</f>
        <v>4</v>
      </c>
    </row>
    <row r="22" spans="1:11" x14ac:dyDescent="0.25">
      <c r="A22" s="235" t="s">
        <v>394</v>
      </c>
      <c r="B22" s="232">
        <f>COUNTIFS('2026 Outlook'!$A$4:$A$162,$N$11,'2026 Outlook'!$D$4:$D$162,"WR")</f>
        <v>5</v>
      </c>
    </row>
    <row r="23" spans="1:11" x14ac:dyDescent="0.25">
      <c r="A23" s="236" t="s">
        <v>395</v>
      </c>
      <c r="B23" s="234">
        <f>COUNTIFS('2026 Outlook'!$A$4:$A$162,$N$11,'2026 Outlook'!$D$4:$D$162,"TE")</f>
        <v>1</v>
      </c>
    </row>
    <row r="24" spans="1:11" x14ac:dyDescent="0.25">
      <c r="A24" s="237" t="s">
        <v>396</v>
      </c>
      <c r="B24" s="232">
        <f>COUNTIFS('2026 Outlook'!$A$4:$A$162,$N$11,'2026 Outlook'!$D$4:$D$162,"K")</f>
        <v>1</v>
      </c>
    </row>
    <row r="25" spans="1:11" x14ac:dyDescent="0.25">
      <c r="A25" s="238" t="s">
        <v>397</v>
      </c>
      <c r="B25" s="234">
        <f>COUNTIFS('2026 Outlook'!$A$4:$A$162,$N$11,'2026 Outlook'!$D$4:$D$162,"DEF")</f>
        <v>2</v>
      </c>
    </row>
    <row r="26" spans="1:11" ht="15.75" thickBot="1" x14ac:dyDescent="0.3">
      <c r="A26" s="239" t="s">
        <v>514</v>
      </c>
      <c r="B26" s="240">
        <f>SUM(B20:B25)</f>
        <v>15</v>
      </c>
    </row>
  </sheetData>
  <mergeCells count="3">
    <mergeCell ref="A1:K1"/>
    <mergeCell ref="M2:N2"/>
    <mergeCell ref="A19:B19"/>
  </mergeCells>
  <conditionalFormatting sqref="A3:K18 C19:K19 A20:K20">
    <cfRule type="expression" dxfId="107" priority="11">
      <formula>AND($B3&lt;&gt;"",MOD(ROW(),2)=0)</formula>
    </cfRule>
  </conditionalFormatting>
  <conditionalFormatting sqref="A4:K17">
    <cfRule type="expression" dxfId="106" priority="12">
      <formula>AND($C4&lt;&gt;"",$C4&lt;&gt;$C3)</formula>
    </cfRule>
  </conditionalFormatting>
  <conditionalFormatting sqref="C3:C20">
    <cfRule type="cellIs" dxfId="105" priority="1" operator="equal">
      <formula>"QB"</formula>
    </cfRule>
    <cfRule type="cellIs" dxfId="104" priority="2" operator="equal">
      <formula>"RB"</formula>
    </cfRule>
    <cfRule type="cellIs" dxfId="103" priority="3" operator="equal">
      <formula>"WR"</formula>
    </cfRule>
    <cfRule type="cellIs" dxfId="102" priority="4" operator="equal">
      <formula>"TE"</formula>
    </cfRule>
    <cfRule type="cellIs" dxfId="101" priority="5" operator="equal">
      <formula>"K"</formula>
    </cfRule>
    <cfRule type="cellIs" dxfId="100" priority="6" operator="equal">
      <formula>"DEF"</formula>
    </cfRule>
  </conditionalFormatting>
  <conditionalFormatting sqref="H3:H20">
    <cfRule type="cellIs" dxfId="99" priority="7" operator="greaterThan">
      <formula>0</formula>
    </cfRule>
    <cfRule type="cellIs" dxfId="98" priority="8" operator="lessThan">
      <formula>0</formula>
    </cfRule>
  </conditionalFormatting>
  <conditionalFormatting sqref="I3:I20">
    <cfRule type="containsText" dxfId="97" priority="9" operator="containsText" text="★">
      <formula>NOT(ISERROR(SEARCH("★",I3)))</formula>
    </cfRule>
  </conditionalFormatting>
  <conditionalFormatting sqref="J3:J20">
    <cfRule type="expression" dxfId="96" priority="10">
      <formula>$J3&lt;&gt;""</formula>
    </cfRule>
  </conditionalFormatting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630-BEEC-41B4-97FE-AB19DE29860C}">
  <dimension ref="A1:N27"/>
  <sheetViews>
    <sheetView workbookViewId="0">
      <pane ySplit="2" topLeftCell="A3" activePane="bottomLeft" state="frozen"/>
      <selection pane="bottomLeft" sqref="A1:K17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498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8">_xlfn.LET(_xlpm.r,_xlfn._xlws.FILTER('2026 Outlook'!$B$4:$L$162,'2026 Outlook'!$A$4:$A$162=$N$11,"no players"),_xlpm.s,_xlfn.SORTBY(_xlpm.r,MATCH(INDEX(_xlpm.r,0,3),{"QB";"RB";"WR";"TE";"K";"DEF"},0),1,INDEX(_xlpm.r,0,5),1),IF(_xlpm.s="","",_xlpm.s))</f>
        <v>Round 5</v>
      </c>
      <c r="B3" s="212" t="str">
        <v>Patrick Mahomes</v>
      </c>
      <c r="C3" s="213" t="str">
        <v>QB</v>
      </c>
      <c r="D3" s="213" t="str">
        <v>KC</v>
      </c>
      <c r="E3" s="214">
        <v>82.6</v>
      </c>
      <c r="F3" s="215">
        <v>9</v>
      </c>
      <c r="G3" s="215">
        <v>5</v>
      </c>
      <c r="H3" s="216">
        <v>-4</v>
      </c>
      <c r="I3" s="213" t="str">
        <v/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16</v>
      </c>
    </row>
    <row r="4" spans="1:14" x14ac:dyDescent="0.25">
      <c r="A4" s="211" t="str">
        <v>Waiver add</v>
      </c>
      <c r="B4" s="212" t="str">
        <v>Trevor Lawrence</v>
      </c>
      <c r="C4" s="213" t="str">
        <v>QB</v>
      </c>
      <c r="D4" s="213" t="str">
        <v>JAX</v>
      </c>
      <c r="E4" s="214">
        <v>83.7</v>
      </c>
      <c r="F4" s="215">
        <v>9</v>
      </c>
      <c r="G4" s="215">
        <v>15</v>
      </c>
      <c r="H4" s="216">
        <v>6</v>
      </c>
      <c r="I4" s="213" t="str">
        <v/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3</v>
      </c>
    </row>
    <row r="5" spans="1:14" x14ac:dyDescent="0.25">
      <c r="A5" s="211" t="str">
        <v>Round 3</v>
      </c>
      <c r="B5" s="212" t="str">
        <v>TreVeyon Henderson</v>
      </c>
      <c r="C5" s="213" t="str">
        <v>RB</v>
      </c>
      <c r="D5" s="213" t="str">
        <v>NE</v>
      </c>
      <c r="E5" s="214">
        <v>59.8</v>
      </c>
      <c r="F5" s="215">
        <v>6</v>
      </c>
      <c r="G5" s="215">
        <v>3</v>
      </c>
      <c r="H5" s="216">
        <v>-3</v>
      </c>
      <c r="I5" s="213" t="str">
        <v/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83.95</v>
      </c>
    </row>
    <row r="6" spans="1:14" x14ac:dyDescent="0.25">
      <c r="A6" s="211" t="str">
        <v>Round 4</v>
      </c>
      <c r="B6" s="212" t="str">
        <v>Jaylen Warren</v>
      </c>
      <c r="C6" s="213" t="str">
        <v>RB</v>
      </c>
      <c r="D6" s="213" t="str">
        <v>PIT</v>
      </c>
      <c r="E6" s="214">
        <v>65.5</v>
      </c>
      <c r="F6" s="215">
        <v>7</v>
      </c>
      <c r="G6" s="215">
        <v>4</v>
      </c>
      <c r="H6" s="216">
        <v>-3</v>
      </c>
      <c r="I6" s="213" t="str">
        <v/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10</v>
      </c>
    </row>
    <row r="7" spans="1:14" x14ac:dyDescent="0.25">
      <c r="A7" s="211" t="str">
        <v>Waiver add</v>
      </c>
      <c r="B7" s="212" t="str">
        <v>Rico Dowdle</v>
      </c>
      <c r="C7" s="213" t="str">
        <v>RB</v>
      </c>
      <c r="D7" s="213" t="str">
        <v>PIT</v>
      </c>
      <c r="E7" s="214">
        <v>78.5</v>
      </c>
      <c r="F7" s="215">
        <v>8</v>
      </c>
      <c r="G7" s="215">
        <v>15</v>
      </c>
      <c r="H7" s="216">
        <v>7</v>
      </c>
      <c r="I7" s="213" t="str">
        <v/>
      </c>
      <c r="J7" s="213" t="str">
        <v/>
      </c>
      <c r="K7" s="217" t="str">
        <v/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Mike Evans</v>
      </c>
    </row>
    <row r="8" spans="1:14" x14ac:dyDescent="0.25">
      <c r="A8" s="211" t="str">
        <v>Waiver add</v>
      </c>
      <c r="B8" s="212" t="str">
        <v>Kimani Vidal</v>
      </c>
      <c r="C8" s="213" t="str">
        <v>RB</v>
      </c>
      <c r="D8" s="213" t="str">
        <v>LAC</v>
      </c>
      <c r="E8" s="214" t="str">
        <v/>
      </c>
      <c r="F8" s="215" t="str">
        <v/>
      </c>
      <c r="G8" s="215">
        <v>15</v>
      </c>
      <c r="H8" s="216" t="str">
        <v/>
      </c>
      <c r="I8" s="213" t="str">
        <v/>
      </c>
      <c r="J8" s="213" t="str">
        <v/>
      </c>
      <c r="K8" s="217" t="str">
        <v>Undrafted in mocks</v>
      </c>
      <c r="M8" s="225" t="s">
        <v>496</v>
      </c>
      <c r="N8" s="228">
        <f>COUNTIFS('2026 Outlook'!$A$4:$A$162,$N$11,'2026 Outlook'!$F$4:$F$162,"")</f>
        <v>2</v>
      </c>
    </row>
    <row r="9" spans="1:14" ht="15.75" thickBot="1" x14ac:dyDescent="0.3">
      <c r="A9" s="211" t="str">
        <v>Round 1</v>
      </c>
      <c r="B9" s="212" t="str">
        <v>CeeDee Lamb</v>
      </c>
      <c r="C9" s="213" t="str">
        <v>WR</v>
      </c>
      <c r="D9" s="213" t="str">
        <v>DAL</v>
      </c>
      <c r="E9" s="214">
        <v>12.5</v>
      </c>
      <c r="F9" s="215">
        <v>2</v>
      </c>
      <c r="G9" s="215">
        <v>1</v>
      </c>
      <c r="H9" s="216">
        <v>-1</v>
      </c>
      <c r="I9" s="213" t="str">
        <v>★</v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1</v>
      </c>
    </row>
    <row r="10" spans="1:14" x14ac:dyDescent="0.25">
      <c r="A10" s="211" t="str">
        <v>Round 2</v>
      </c>
      <c r="B10" s="212" t="str">
        <v>Malik Nabers</v>
      </c>
      <c r="C10" s="213" t="str">
        <v>WR</v>
      </c>
      <c r="D10" s="213" t="str">
        <v>NYG</v>
      </c>
      <c r="E10" s="214">
        <v>48.5</v>
      </c>
      <c r="F10" s="215">
        <v>5</v>
      </c>
      <c r="G10" s="215">
        <v>2</v>
      </c>
      <c r="H10" s="216">
        <v>-3</v>
      </c>
      <c r="I10" s="213" t="str">
        <v>★</v>
      </c>
      <c r="J10" s="213" t="str">
        <v/>
      </c>
      <c r="K10" s="217" t="str">
        <v/>
      </c>
    </row>
    <row r="11" spans="1:14" x14ac:dyDescent="0.25">
      <c r="A11" s="211" t="str">
        <v>Waiver add</v>
      </c>
      <c r="B11" s="212" t="str">
        <v>Mike Evans</v>
      </c>
      <c r="C11" s="213" t="str">
        <v>WR</v>
      </c>
      <c r="D11" s="213" t="str">
        <v>SF</v>
      </c>
      <c r="E11" s="214">
        <v>49.7</v>
      </c>
      <c r="F11" s="215">
        <v>5</v>
      </c>
      <c r="G11" s="215">
        <v>15</v>
      </c>
      <c r="H11" s="216">
        <v>10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450</v>
      </c>
    </row>
    <row r="12" spans="1:14" x14ac:dyDescent="0.25">
      <c r="A12" s="211" t="str">
        <v>Waiver add</v>
      </c>
      <c r="B12" s="212" t="str">
        <v>DK Metcalf</v>
      </c>
      <c r="C12" s="213" t="str">
        <v>WR</v>
      </c>
      <c r="D12" s="213" t="str">
        <v>PIT</v>
      </c>
      <c r="E12" s="214">
        <v>54.6</v>
      </c>
      <c r="F12" s="215">
        <v>6</v>
      </c>
      <c r="G12" s="215">
        <v>15</v>
      </c>
      <c r="H12" s="216">
        <v>9</v>
      </c>
      <c r="I12" s="213" t="str">
        <v/>
      </c>
      <c r="J12" s="213" t="str">
        <v/>
      </c>
      <c r="K12" s="217" t="str">
        <v/>
      </c>
    </row>
    <row r="13" spans="1:14" x14ac:dyDescent="0.25">
      <c r="A13" s="211" t="str">
        <v>Round 9</v>
      </c>
      <c r="B13" s="212" t="str">
        <v>Jordan Addison</v>
      </c>
      <c r="C13" s="213" t="str">
        <v>WR</v>
      </c>
      <c r="D13" s="213" t="str">
        <v>MIN</v>
      </c>
      <c r="E13" s="214">
        <v>88.5</v>
      </c>
      <c r="F13" s="215">
        <v>9</v>
      </c>
      <c r="G13" s="215">
        <v>9</v>
      </c>
      <c r="H13" s="216">
        <v>0</v>
      </c>
      <c r="I13" s="213" t="str">
        <v/>
      </c>
      <c r="J13" s="213" t="str">
        <v/>
      </c>
      <c r="K13" s="217" t="str">
        <v/>
      </c>
    </row>
    <row r="14" spans="1:14" x14ac:dyDescent="0.25">
      <c r="A14" s="211" t="str">
        <v>Waiver add</v>
      </c>
      <c r="B14" s="212" t="str">
        <v>Troy Franklin</v>
      </c>
      <c r="C14" s="213" t="str">
        <v>WR</v>
      </c>
      <c r="D14" s="213" t="str">
        <v>DEN</v>
      </c>
      <c r="E14" s="214">
        <v>182.7</v>
      </c>
      <c r="F14" s="215">
        <v>19</v>
      </c>
      <c r="G14" s="215">
        <v>15</v>
      </c>
      <c r="H14" s="216">
        <v>-4</v>
      </c>
      <c r="I14" s="213" t="str">
        <v/>
      </c>
      <c r="J14" s="213" t="str">
        <v/>
      </c>
      <c r="K14" s="217" t="str">
        <v/>
      </c>
    </row>
    <row r="15" spans="1:14" x14ac:dyDescent="0.25">
      <c r="A15" s="211" t="str">
        <v>Round 6</v>
      </c>
      <c r="B15" s="212" t="str">
        <v>Stefon Diggs</v>
      </c>
      <c r="C15" s="213" t="str">
        <v>WR</v>
      </c>
      <c r="D15" s="213" t="str">
        <v>NE</v>
      </c>
      <c r="E15" s="214" t="str">
        <v/>
      </c>
      <c r="F15" s="215" t="str">
        <v/>
      </c>
      <c r="G15" s="215">
        <v>6</v>
      </c>
      <c r="H15" s="216" t="str">
        <v/>
      </c>
      <c r="I15" s="213" t="str">
        <v/>
      </c>
      <c r="J15" s="213" t="str">
        <v>NA</v>
      </c>
      <c r="K15" s="217" t="str">
        <v>Undrafted in mocks</v>
      </c>
    </row>
    <row r="16" spans="1:14" x14ac:dyDescent="0.25">
      <c r="A16" s="211" t="str">
        <v>Round 13</v>
      </c>
      <c r="B16" s="212" t="str">
        <v>Travis Kelce</v>
      </c>
      <c r="C16" s="213" t="str">
        <v>TE</v>
      </c>
      <c r="D16" s="213" t="str">
        <v>KC</v>
      </c>
      <c r="E16" s="214">
        <v>96.4</v>
      </c>
      <c r="F16" s="215">
        <v>10</v>
      </c>
      <c r="G16" s="215">
        <v>13</v>
      </c>
      <c r="H16" s="216">
        <v>3</v>
      </c>
      <c r="I16" s="213" t="str">
        <v>★</v>
      </c>
      <c r="J16" s="213" t="str">
        <v/>
      </c>
      <c r="K16" s="217" t="str">
        <v/>
      </c>
    </row>
    <row r="17" spans="1:11" x14ac:dyDescent="0.25">
      <c r="A17" s="211" t="str">
        <v>Round 11</v>
      </c>
      <c r="B17" s="212" t="str">
        <v>Harrison Butker</v>
      </c>
      <c r="C17" s="213" t="str">
        <v>K</v>
      </c>
      <c r="D17" s="213" t="str">
        <v>KC</v>
      </c>
      <c r="E17" s="214">
        <v>164.5</v>
      </c>
      <c r="F17" s="215">
        <v>17</v>
      </c>
      <c r="G17" s="215">
        <v>11</v>
      </c>
      <c r="H17" s="216">
        <v>-6</v>
      </c>
      <c r="I17" s="213" t="str">
        <v/>
      </c>
      <c r="J17" s="213" t="str">
        <v/>
      </c>
      <c r="K17" s="217" t="str">
        <v/>
      </c>
    </row>
    <row r="18" spans="1:11" ht="15.75" thickBot="1" x14ac:dyDescent="0.3">
      <c r="A18" s="218" t="str">
        <v>Waiver add</v>
      </c>
      <c r="B18" s="219" t="str">
        <v>Patriots</v>
      </c>
      <c r="C18" s="220" t="str">
        <v>DEF</v>
      </c>
      <c r="D18" s="220" t="str">
        <v>NE</v>
      </c>
      <c r="E18" s="221">
        <v>107.8</v>
      </c>
      <c r="F18" s="222">
        <v>11</v>
      </c>
      <c r="G18" s="222">
        <v>15</v>
      </c>
      <c r="H18" s="223">
        <v>4</v>
      </c>
      <c r="I18" s="220" t="str">
        <v/>
      </c>
      <c r="J18" s="220" t="str">
        <v/>
      </c>
      <c r="K18" s="224" t="str">
        <v/>
      </c>
    </row>
    <row r="19" spans="1:11" ht="15.75" thickBot="1" x14ac:dyDescent="0.3">
      <c r="A19" s="169"/>
      <c r="B19" s="173"/>
      <c r="C19" s="157"/>
      <c r="D19" s="157"/>
      <c r="E19" s="158"/>
      <c r="F19" s="159"/>
      <c r="G19" s="159"/>
      <c r="H19" s="160"/>
      <c r="I19" s="157"/>
      <c r="J19" s="157"/>
      <c r="K19" s="157"/>
    </row>
    <row r="20" spans="1:11" ht="20.100000000000001" customHeight="1" x14ac:dyDescent="0.25">
      <c r="A20" s="275" t="s">
        <v>513</v>
      </c>
      <c r="B20" s="276"/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x14ac:dyDescent="0.25">
      <c r="A21" s="231" t="s">
        <v>392</v>
      </c>
      <c r="B21" s="232">
        <f>COUNTIFS('2026 Outlook'!$A$4:$A$162,$N$11,'2026 Outlook'!$D$4:$D$162,"QB")</f>
        <v>2</v>
      </c>
    </row>
    <row r="22" spans="1:11" x14ac:dyDescent="0.25">
      <c r="A22" s="233" t="s">
        <v>393</v>
      </c>
      <c r="B22" s="234">
        <f>COUNTIFS('2026 Outlook'!$A$4:$A$162,$N$11,'2026 Outlook'!$D$4:$D$162,"RB")</f>
        <v>4</v>
      </c>
    </row>
    <row r="23" spans="1:11" x14ac:dyDescent="0.25">
      <c r="A23" s="235" t="s">
        <v>394</v>
      </c>
      <c r="B23" s="232">
        <f>COUNTIFS('2026 Outlook'!$A$4:$A$162,$N$11,'2026 Outlook'!$D$4:$D$162,"WR")</f>
        <v>7</v>
      </c>
    </row>
    <row r="24" spans="1:11" x14ac:dyDescent="0.25">
      <c r="A24" s="236" t="s">
        <v>395</v>
      </c>
      <c r="B24" s="234">
        <f>COUNTIFS('2026 Outlook'!$A$4:$A$162,$N$11,'2026 Outlook'!$D$4:$D$162,"TE")</f>
        <v>1</v>
      </c>
    </row>
    <row r="25" spans="1:11" x14ac:dyDescent="0.25">
      <c r="A25" s="237" t="s">
        <v>396</v>
      </c>
      <c r="B25" s="232">
        <f>COUNTIFS('2026 Outlook'!$A$4:$A$162,$N$11,'2026 Outlook'!$D$4:$D$162,"K")</f>
        <v>1</v>
      </c>
    </row>
    <row r="26" spans="1:11" x14ac:dyDescent="0.25">
      <c r="A26" s="238" t="s">
        <v>397</v>
      </c>
      <c r="B26" s="234">
        <f>COUNTIFS('2026 Outlook'!$A$4:$A$162,$N$11,'2026 Outlook'!$D$4:$D$162,"DEF")</f>
        <v>1</v>
      </c>
    </row>
    <row r="27" spans="1:11" ht="15.75" thickBot="1" x14ac:dyDescent="0.3">
      <c r="A27" s="239" t="s">
        <v>514</v>
      </c>
      <c r="B27" s="240">
        <f>SUM(B21:B26)</f>
        <v>16</v>
      </c>
    </row>
  </sheetData>
  <mergeCells count="3">
    <mergeCell ref="A1:K1"/>
    <mergeCell ref="M2:N2"/>
    <mergeCell ref="A20:B20"/>
  </mergeCells>
  <conditionalFormatting sqref="A3:K19 C20:K20">
    <cfRule type="expression" dxfId="95" priority="11">
      <formula>AND($B3&lt;&gt;"",MOD(ROW(),2)=0)</formula>
    </cfRule>
  </conditionalFormatting>
  <conditionalFormatting sqref="A4:K18">
    <cfRule type="expression" dxfId="94" priority="12">
      <formula>AND($C4&lt;&gt;"",$C4&lt;&gt;$C3)</formula>
    </cfRule>
  </conditionalFormatting>
  <conditionalFormatting sqref="C3:C20">
    <cfRule type="cellIs" dxfId="93" priority="1" operator="equal">
      <formula>"QB"</formula>
    </cfRule>
    <cfRule type="cellIs" dxfId="92" priority="2" operator="equal">
      <formula>"RB"</formula>
    </cfRule>
    <cfRule type="cellIs" dxfId="91" priority="3" operator="equal">
      <formula>"WR"</formula>
    </cfRule>
    <cfRule type="cellIs" dxfId="90" priority="4" operator="equal">
      <formula>"TE"</formula>
    </cfRule>
    <cfRule type="cellIs" dxfId="89" priority="5" operator="equal">
      <formula>"K"</formula>
    </cfRule>
    <cfRule type="cellIs" dxfId="88" priority="6" operator="equal">
      <formula>"DEF"</formula>
    </cfRule>
  </conditionalFormatting>
  <conditionalFormatting sqref="H3:H20">
    <cfRule type="cellIs" dxfId="87" priority="7" operator="greaterThan">
      <formula>0</formula>
    </cfRule>
    <cfRule type="cellIs" dxfId="86" priority="8" operator="lessThan">
      <formula>0</formula>
    </cfRule>
  </conditionalFormatting>
  <conditionalFormatting sqref="I3:I20">
    <cfRule type="containsText" dxfId="85" priority="9" operator="containsText" text="★">
      <formula>NOT(ISERROR(SEARCH("★",I3)))</formula>
    </cfRule>
  </conditionalFormatting>
  <conditionalFormatting sqref="J3:J20">
    <cfRule type="expression" dxfId="84" priority="10">
      <formula>$J3&lt;&gt;""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5D1E-142F-427E-A7AC-7AA0C35E34C6}">
  <dimension ref="A1:N25"/>
  <sheetViews>
    <sheetView workbookViewId="0">
      <pane ySplit="2" topLeftCell="A3" activePane="bottomLeft" state="frozen"/>
      <selection pane="bottomLeft" sqref="A1:K17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499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6">_xlfn.LET(_xlpm.r,_xlfn._xlws.FILTER('2026 Outlook'!$B$4:$L$162,'2026 Outlook'!$A$4:$A$162=$N$11,"no players"),_xlpm.s,_xlfn.SORTBY(_xlpm.r,MATCH(INDEX(_xlpm.r,0,3),{"QB";"RB";"WR";"TE";"K";"DEF"},0),1,INDEX(_xlpm.r,0,5),1),IF(_xlpm.s="","",_xlpm.s))</f>
        <v>Round 14</v>
      </c>
      <c r="B3" s="212" t="str">
        <v>Lamar Jackson</v>
      </c>
      <c r="C3" s="213" t="str">
        <v>QB</v>
      </c>
      <c r="D3" s="213" t="str">
        <v>BAL</v>
      </c>
      <c r="E3" s="214">
        <v>54.6</v>
      </c>
      <c r="F3" s="215">
        <v>6</v>
      </c>
      <c r="G3" s="215">
        <v>14</v>
      </c>
      <c r="H3" s="216">
        <v>8</v>
      </c>
      <c r="I3" s="213" t="str">
        <v>★</v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14</v>
      </c>
    </row>
    <row r="4" spans="1:14" x14ac:dyDescent="0.25">
      <c r="A4" s="211" t="str">
        <v>Waiver add</v>
      </c>
      <c r="B4" s="212" t="str">
        <v>Dak Prescott</v>
      </c>
      <c r="C4" s="213" t="str">
        <v>QB</v>
      </c>
      <c r="D4" s="213" t="str">
        <v>DAL</v>
      </c>
      <c r="E4" s="214">
        <v>58.5</v>
      </c>
      <c r="F4" s="215">
        <v>6</v>
      </c>
      <c r="G4" s="215">
        <v>15</v>
      </c>
      <c r="H4" s="216">
        <v>9</v>
      </c>
      <c r="I4" s="213" t="str">
        <v/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4</v>
      </c>
    </row>
    <row r="5" spans="1:14" x14ac:dyDescent="0.25">
      <c r="A5" s="211" t="str">
        <v>Round 2</v>
      </c>
      <c r="B5" s="212" t="str">
        <v>Breece Hall</v>
      </c>
      <c r="C5" s="213" t="str">
        <v>RB</v>
      </c>
      <c r="D5" s="213" t="str">
        <v>NYJ</v>
      </c>
      <c r="E5" s="214">
        <v>30.4</v>
      </c>
      <c r="F5" s="215">
        <v>4</v>
      </c>
      <c r="G5" s="215">
        <v>2</v>
      </c>
      <c r="H5" s="216">
        <v>-2</v>
      </c>
      <c r="I5" s="213" t="str">
        <v>★</v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77.746153846153845</v>
      </c>
    </row>
    <row r="6" spans="1:14" x14ac:dyDescent="0.25">
      <c r="A6" s="211" t="str">
        <v>Round 7</v>
      </c>
      <c r="B6" s="212" t="str">
        <v>Travis Etienne Jr.</v>
      </c>
      <c r="C6" s="213" t="str">
        <v>RB</v>
      </c>
      <c r="D6" s="213" t="str">
        <v>NO</v>
      </c>
      <c r="E6" s="214">
        <v>37.5</v>
      </c>
      <c r="F6" s="215">
        <v>4</v>
      </c>
      <c r="G6" s="215">
        <v>7</v>
      </c>
      <c r="H6" s="216">
        <v>3</v>
      </c>
      <c r="I6" s="213" t="str">
        <v/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14</v>
      </c>
    </row>
    <row r="7" spans="1:14" x14ac:dyDescent="0.25">
      <c r="A7" s="211" t="str">
        <v>Round 8</v>
      </c>
      <c r="B7" s="212" t="str">
        <v>Jordan Mason</v>
      </c>
      <c r="C7" s="213" t="str">
        <v>RB</v>
      </c>
      <c r="D7" s="213" t="str">
        <v>MIN</v>
      </c>
      <c r="E7" s="214">
        <v>120.1</v>
      </c>
      <c r="F7" s="215">
        <v>13</v>
      </c>
      <c r="G7" s="215">
        <v>8</v>
      </c>
      <c r="H7" s="216">
        <v>-5</v>
      </c>
      <c r="I7" s="213" t="str">
        <v/>
      </c>
      <c r="J7" s="213" t="str">
        <v/>
      </c>
      <c r="K7" s="217" t="str">
        <v/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Puka Nacua</v>
      </c>
    </row>
    <row r="8" spans="1:14" x14ac:dyDescent="0.25">
      <c r="A8" s="211" t="str">
        <v>Round 3</v>
      </c>
      <c r="B8" s="212" t="str">
        <v>Alvin Kamara</v>
      </c>
      <c r="C8" s="213" t="str">
        <v>RB</v>
      </c>
      <c r="D8" s="213" t="str">
        <v>NO</v>
      </c>
      <c r="E8" s="214">
        <v>151.9</v>
      </c>
      <c r="F8" s="215">
        <v>16</v>
      </c>
      <c r="G8" s="215">
        <v>3</v>
      </c>
      <c r="H8" s="216">
        <v>-13</v>
      </c>
      <c r="I8" s="213" t="str">
        <v/>
      </c>
      <c r="J8" s="213" t="str">
        <v/>
      </c>
      <c r="K8" s="217" t="str">
        <v/>
      </c>
      <c r="M8" s="225" t="s">
        <v>496</v>
      </c>
      <c r="N8" s="228">
        <f>COUNTIFS('2026 Outlook'!$A$4:$A$162,$N$11,'2026 Outlook'!$F$4:$F$162,"")</f>
        <v>1</v>
      </c>
    </row>
    <row r="9" spans="1:14" ht="15.75" thickBot="1" x14ac:dyDescent="0.3">
      <c r="A9" s="211" t="str">
        <v>Round 15</v>
      </c>
      <c r="B9" s="212" t="str">
        <v>Puka Nacua</v>
      </c>
      <c r="C9" s="213" t="str">
        <v>WR</v>
      </c>
      <c r="D9" s="213" t="str">
        <v>LAR</v>
      </c>
      <c r="E9" s="214">
        <v>2.9</v>
      </c>
      <c r="F9" s="215">
        <v>1</v>
      </c>
      <c r="G9" s="215">
        <v>15</v>
      </c>
      <c r="H9" s="216">
        <v>14</v>
      </c>
      <c r="I9" s="213" t="str">
        <v>★</v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0</v>
      </c>
    </row>
    <row r="10" spans="1:14" x14ac:dyDescent="0.25">
      <c r="A10" s="211" t="str">
        <v>Round 5</v>
      </c>
      <c r="B10" s="212" t="str">
        <v>Amon-Ra St. Brown</v>
      </c>
      <c r="C10" s="213" t="str">
        <v>WR</v>
      </c>
      <c r="D10" s="213" t="str">
        <v>DET</v>
      </c>
      <c r="E10" s="214">
        <v>8.1999999999999993</v>
      </c>
      <c r="F10" s="215">
        <v>1</v>
      </c>
      <c r="G10" s="215">
        <v>5</v>
      </c>
      <c r="H10" s="216">
        <v>4</v>
      </c>
      <c r="I10" s="213" t="str">
        <v>★</v>
      </c>
      <c r="J10" s="213" t="str">
        <v/>
      </c>
      <c r="K10" s="217" t="str">
        <v/>
      </c>
    </row>
    <row r="11" spans="1:14" x14ac:dyDescent="0.25">
      <c r="A11" s="211" t="str">
        <v>Round 1</v>
      </c>
      <c r="B11" s="212" t="str">
        <v>Ladd McConkey</v>
      </c>
      <c r="C11" s="213" t="str">
        <v>WR</v>
      </c>
      <c r="D11" s="213" t="str">
        <v>LAC</v>
      </c>
      <c r="E11" s="214">
        <v>36</v>
      </c>
      <c r="F11" s="215">
        <v>4</v>
      </c>
      <c r="G11" s="215">
        <v>1</v>
      </c>
      <c r="H11" s="216">
        <v>-3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457</v>
      </c>
    </row>
    <row r="12" spans="1:14" x14ac:dyDescent="0.25">
      <c r="A12" s="211" t="str">
        <v>Round 10</v>
      </c>
      <c r="B12" s="212" t="str">
        <v>Khalil Shakir</v>
      </c>
      <c r="C12" s="213" t="str">
        <v>WR</v>
      </c>
      <c r="D12" s="213" t="str">
        <v>BUF</v>
      </c>
      <c r="E12" s="214">
        <v>105.8</v>
      </c>
      <c r="F12" s="215">
        <v>11</v>
      </c>
      <c r="G12" s="215">
        <v>10</v>
      </c>
      <c r="H12" s="216">
        <v>-1</v>
      </c>
      <c r="I12" s="213" t="str">
        <v/>
      </c>
      <c r="J12" s="213" t="str">
        <v/>
      </c>
      <c r="K12" s="217" t="str">
        <v/>
      </c>
    </row>
    <row r="13" spans="1:14" x14ac:dyDescent="0.25">
      <c r="A13" s="211" t="str">
        <v>Round 9</v>
      </c>
      <c r="B13" s="212" t="str">
        <v>Jauan Jennings</v>
      </c>
      <c r="C13" s="213" t="str">
        <v>WR</v>
      </c>
      <c r="D13" s="213" t="str">
        <v>MIN</v>
      </c>
      <c r="E13" s="214">
        <v>130.69999999999999</v>
      </c>
      <c r="F13" s="215">
        <v>14</v>
      </c>
      <c r="G13" s="215">
        <v>9</v>
      </c>
      <c r="H13" s="216">
        <v>-5</v>
      </c>
      <c r="I13" s="213" t="str">
        <v/>
      </c>
      <c r="J13" s="213" t="str">
        <v/>
      </c>
      <c r="K13" s="217" t="str">
        <v/>
      </c>
    </row>
    <row r="14" spans="1:14" x14ac:dyDescent="0.25">
      <c r="A14" s="211" t="str">
        <v>Waiver add</v>
      </c>
      <c r="B14" s="212" t="str">
        <v>Jake Ferguson</v>
      </c>
      <c r="C14" s="213" t="str">
        <v>TE</v>
      </c>
      <c r="D14" s="213" t="str">
        <v>DAL</v>
      </c>
      <c r="E14" s="214">
        <v>126.3</v>
      </c>
      <c r="F14" s="215">
        <v>13</v>
      </c>
      <c r="G14" s="215">
        <v>15</v>
      </c>
      <c r="H14" s="216">
        <v>2</v>
      </c>
      <c r="I14" s="213" t="str">
        <v/>
      </c>
      <c r="J14" s="213" t="str">
        <v/>
      </c>
      <c r="K14" s="217" t="str">
        <v/>
      </c>
    </row>
    <row r="15" spans="1:14" x14ac:dyDescent="0.25">
      <c r="A15" s="211" t="str">
        <v>Round 6</v>
      </c>
      <c r="B15" s="212" t="str">
        <v>T.J. Hockenson</v>
      </c>
      <c r="C15" s="213" t="str">
        <v>TE</v>
      </c>
      <c r="D15" s="213" t="str">
        <v>MIN</v>
      </c>
      <c r="E15" s="214">
        <v>147.80000000000001</v>
      </c>
      <c r="F15" s="215">
        <v>15</v>
      </c>
      <c r="G15" s="215">
        <v>6</v>
      </c>
      <c r="H15" s="216">
        <v>-9</v>
      </c>
      <c r="I15" s="213" t="str">
        <v/>
      </c>
      <c r="J15" s="213" t="str">
        <v/>
      </c>
      <c r="K15" s="217" t="str">
        <v/>
      </c>
    </row>
    <row r="16" spans="1:14" ht="15.75" thickBot="1" x14ac:dyDescent="0.3">
      <c r="A16" s="218" t="str">
        <v>Waiver add</v>
      </c>
      <c r="B16" s="219" t="str">
        <v>Jake Elliott</v>
      </c>
      <c r="C16" s="220" t="str">
        <v>K</v>
      </c>
      <c r="D16" s="220" t="str">
        <v>PHI</v>
      </c>
      <c r="E16" s="221" t="str">
        <v/>
      </c>
      <c r="F16" s="222" t="str">
        <v/>
      </c>
      <c r="G16" s="222">
        <v>15</v>
      </c>
      <c r="H16" s="223" t="str">
        <v/>
      </c>
      <c r="I16" s="220" t="str">
        <v/>
      </c>
      <c r="J16" s="220" t="str">
        <v/>
      </c>
      <c r="K16" s="224" t="str">
        <v>Undrafted in mocks</v>
      </c>
    </row>
    <row r="17" spans="1:11" ht="15.75" thickBot="1" x14ac:dyDescent="0.3">
      <c r="A17" s="169"/>
      <c r="B17" s="173"/>
      <c r="C17" s="157"/>
      <c r="D17" s="157"/>
      <c r="E17" s="158"/>
      <c r="F17" s="159"/>
      <c r="G17" s="159"/>
      <c r="H17" s="160"/>
      <c r="I17" s="157"/>
      <c r="J17" s="157"/>
      <c r="K17" s="157"/>
    </row>
    <row r="18" spans="1:11" ht="20.100000000000001" customHeight="1" x14ac:dyDescent="0.25">
      <c r="A18" s="275" t="s">
        <v>513</v>
      </c>
      <c r="B18" s="276"/>
      <c r="C18" s="157"/>
      <c r="D18" s="157"/>
      <c r="E18" s="158"/>
      <c r="F18" s="159"/>
      <c r="G18" s="159"/>
      <c r="H18" s="160"/>
      <c r="I18" s="157"/>
      <c r="J18" s="157"/>
      <c r="K18" s="157"/>
    </row>
    <row r="19" spans="1:11" x14ac:dyDescent="0.25">
      <c r="A19" s="231" t="s">
        <v>392</v>
      </c>
      <c r="B19" s="232">
        <f>COUNTIFS('2026 Outlook'!$A$4:$A$162,$N$11,'2026 Outlook'!$D$4:$D$162,"QB")</f>
        <v>2</v>
      </c>
      <c r="C19" s="157"/>
      <c r="D19" s="157"/>
      <c r="E19" s="158"/>
      <c r="F19" s="159"/>
      <c r="G19" s="159"/>
      <c r="H19" s="160"/>
      <c r="I19" s="157"/>
      <c r="J19" s="157"/>
      <c r="K19" s="157"/>
    </row>
    <row r="20" spans="1:11" x14ac:dyDescent="0.25">
      <c r="A20" s="233" t="s">
        <v>393</v>
      </c>
      <c r="B20" s="234">
        <f>COUNTIFS('2026 Outlook'!$A$4:$A$162,$N$11,'2026 Outlook'!$D$4:$D$162,"RB")</f>
        <v>4</v>
      </c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x14ac:dyDescent="0.25">
      <c r="A21" s="235" t="s">
        <v>394</v>
      </c>
      <c r="B21" s="232">
        <f>COUNTIFS('2026 Outlook'!$A$4:$A$162,$N$11,'2026 Outlook'!$D$4:$D$162,"WR")</f>
        <v>5</v>
      </c>
    </row>
    <row r="22" spans="1:11" x14ac:dyDescent="0.25">
      <c r="A22" s="236" t="s">
        <v>395</v>
      </c>
      <c r="B22" s="234">
        <f>COUNTIFS('2026 Outlook'!$A$4:$A$162,$N$11,'2026 Outlook'!$D$4:$D$162,"TE")</f>
        <v>2</v>
      </c>
    </row>
    <row r="23" spans="1:11" x14ac:dyDescent="0.25">
      <c r="A23" s="237" t="s">
        <v>396</v>
      </c>
      <c r="B23" s="232">
        <f>COUNTIFS('2026 Outlook'!$A$4:$A$162,$N$11,'2026 Outlook'!$D$4:$D$162,"K")</f>
        <v>1</v>
      </c>
    </row>
    <row r="24" spans="1:11" x14ac:dyDescent="0.25">
      <c r="A24" s="238" t="s">
        <v>397</v>
      </c>
      <c r="B24" s="234">
        <f>COUNTIFS('2026 Outlook'!$A$4:$A$162,$N$11,'2026 Outlook'!$D$4:$D$162,"DEF")</f>
        <v>0</v>
      </c>
    </row>
    <row r="25" spans="1:11" ht="15.75" thickBot="1" x14ac:dyDescent="0.3">
      <c r="A25" s="239" t="s">
        <v>514</v>
      </c>
      <c r="B25" s="240">
        <f>SUM(B19:B24)</f>
        <v>14</v>
      </c>
    </row>
  </sheetData>
  <mergeCells count="3">
    <mergeCell ref="A1:K1"/>
    <mergeCell ref="M2:N2"/>
    <mergeCell ref="A18:B18"/>
  </mergeCells>
  <conditionalFormatting sqref="A3:K17 C18:K18 A19:K20">
    <cfRule type="expression" dxfId="83" priority="11">
      <formula>AND($B3&lt;&gt;"",MOD(ROW(),2)=0)</formula>
    </cfRule>
  </conditionalFormatting>
  <conditionalFormatting sqref="A4:K16">
    <cfRule type="expression" dxfId="82" priority="12">
      <formula>AND($C4&lt;&gt;"",$C4&lt;&gt;$C3)</formula>
    </cfRule>
  </conditionalFormatting>
  <conditionalFormatting sqref="C3:C20">
    <cfRule type="cellIs" dxfId="81" priority="1" operator="equal">
      <formula>"QB"</formula>
    </cfRule>
    <cfRule type="cellIs" dxfId="80" priority="2" operator="equal">
      <formula>"RB"</formula>
    </cfRule>
    <cfRule type="cellIs" dxfId="79" priority="3" operator="equal">
      <formula>"WR"</formula>
    </cfRule>
    <cfRule type="cellIs" dxfId="78" priority="4" operator="equal">
      <formula>"TE"</formula>
    </cfRule>
    <cfRule type="cellIs" dxfId="77" priority="5" operator="equal">
      <formula>"K"</formula>
    </cfRule>
    <cfRule type="cellIs" dxfId="76" priority="6" operator="equal">
      <formula>"DEF"</formula>
    </cfRule>
  </conditionalFormatting>
  <conditionalFormatting sqref="H3:H20">
    <cfRule type="cellIs" dxfId="75" priority="7" operator="greaterThan">
      <formula>0</formula>
    </cfRule>
    <cfRule type="cellIs" dxfId="74" priority="8" operator="lessThan">
      <formula>0</formula>
    </cfRule>
  </conditionalFormatting>
  <conditionalFormatting sqref="I3:I20">
    <cfRule type="containsText" dxfId="73" priority="9" operator="containsText" text="★">
      <formula>NOT(ISERROR(SEARCH("★",I3)))</formula>
    </cfRule>
  </conditionalFormatting>
  <conditionalFormatting sqref="J3:J20">
    <cfRule type="expression" dxfId="72" priority="10">
      <formula>$J3&lt;&gt;""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9C46-905C-4AC7-A26F-EF238662483C}">
  <dimension ref="A1:N28"/>
  <sheetViews>
    <sheetView workbookViewId="0">
      <pane ySplit="2" topLeftCell="A3" activePane="bottomLeft" state="frozen"/>
      <selection pane="bottomLeft" sqref="A1:K17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500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9">_xlfn.LET(_xlpm.r,_xlfn._xlws.FILTER('2026 Outlook'!$B$4:$L$162,'2026 Outlook'!$A$4:$A$162=$N$11,"no players"),_xlpm.s,_xlfn.SORTBY(_xlpm.r,MATCH(INDEX(_xlpm.r,0,3),{"QB";"RB";"WR";"TE";"K";"DEF"},0),1,INDEX(_xlpm.r,0,5),1),IF(_xlpm.s="","",_xlpm.s))</f>
        <v>Waiver add</v>
      </c>
      <c r="B3" s="212" t="str">
        <v>Jayden Daniels</v>
      </c>
      <c r="C3" s="213" t="str">
        <v>QB</v>
      </c>
      <c r="D3" s="213" t="str">
        <v>WAS</v>
      </c>
      <c r="E3" s="214">
        <v>80.599999999999994</v>
      </c>
      <c r="F3" s="215">
        <v>9</v>
      </c>
      <c r="G3" s="215">
        <v>15</v>
      </c>
      <c r="H3" s="216">
        <v>6</v>
      </c>
      <c r="I3" s="213" t="str">
        <v/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17</v>
      </c>
    </row>
    <row r="4" spans="1:14" x14ac:dyDescent="0.25">
      <c r="A4" s="211" t="str">
        <v>Round 8</v>
      </c>
      <c r="B4" s="212" t="str">
        <v>Jalen Hurts</v>
      </c>
      <c r="C4" s="213" t="str">
        <v>QB</v>
      </c>
      <c r="D4" s="213" t="str">
        <v>PHI</v>
      </c>
      <c r="E4" s="214">
        <v>93.9</v>
      </c>
      <c r="F4" s="215">
        <v>10</v>
      </c>
      <c r="G4" s="215">
        <v>8</v>
      </c>
      <c r="H4" s="216">
        <v>-2</v>
      </c>
      <c r="I4" s="213" t="str">
        <v>★</v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4</v>
      </c>
    </row>
    <row r="5" spans="1:14" x14ac:dyDescent="0.25">
      <c r="A5" s="211" t="str">
        <v>Waiver add</v>
      </c>
      <c r="B5" s="212" t="str">
        <v>Jaxson Dart</v>
      </c>
      <c r="C5" s="213" t="str">
        <v>QB</v>
      </c>
      <c r="D5" s="213" t="str">
        <v>NYG</v>
      </c>
      <c r="E5" s="214">
        <v>121.2</v>
      </c>
      <c r="F5" s="215">
        <v>13</v>
      </c>
      <c r="G5" s="215">
        <v>15</v>
      </c>
      <c r="H5" s="216">
        <v>2</v>
      </c>
      <c r="I5" s="213" t="str">
        <v/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70.28125</v>
      </c>
    </row>
    <row r="6" spans="1:14" x14ac:dyDescent="0.25">
      <c r="A6" s="211" t="str">
        <v>Round 1</v>
      </c>
      <c r="B6" s="212" t="str">
        <v>James Cook III</v>
      </c>
      <c r="C6" s="213" t="str">
        <v>RB</v>
      </c>
      <c r="D6" s="213" t="str">
        <v>BUF</v>
      </c>
      <c r="E6" s="214">
        <v>10.3</v>
      </c>
      <c r="F6" s="215">
        <v>2</v>
      </c>
      <c r="G6" s="215">
        <v>1</v>
      </c>
      <c r="H6" s="216">
        <v>-1</v>
      </c>
      <c r="I6" s="213" t="str">
        <v/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12</v>
      </c>
    </row>
    <row r="7" spans="1:14" x14ac:dyDescent="0.25">
      <c r="A7" s="211" t="str">
        <v>Round 15</v>
      </c>
      <c r="B7" s="212" t="str">
        <v>Chase Brown</v>
      </c>
      <c r="C7" s="213" t="str">
        <v>RB</v>
      </c>
      <c r="D7" s="213" t="str">
        <v>CIN</v>
      </c>
      <c r="E7" s="214">
        <v>20.100000000000001</v>
      </c>
      <c r="F7" s="215">
        <v>3</v>
      </c>
      <c r="G7" s="215">
        <v>15</v>
      </c>
      <c r="H7" s="216">
        <v>12</v>
      </c>
      <c r="I7" s="213" t="str">
        <v>★</v>
      </c>
      <c r="J7" s="213" t="str">
        <v/>
      </c>
      <c r="K7" s="217" t="str">
        <v/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Chase Brown</v>
      </c>
    </row>
    <row r="8" spans="1:14" x14ac:dyDescent="0.25">
      <c r="A8" s="211" t="str">
        <v>Round 13</v>
      </c>
      <c r="B8" s="212" t="str">
        <v>Quinshon Judkins</v>
      </c>
      <c r="C8" s="213" t="str">
        <v>RB</v>
      </c>
      <c r="D8" s="213" t="str">
        <v>CLE</v>
      </c>
      <c r="E8" s="214">
        <v>47.7</v>
      </c>
      <c r="F8" s="215">
        <v>5</v>
      </c>
      <c r="G8" s="215">
        <v>13</v>
      </c>
      <c r="H8" s="216">
        <v>8</v>
      </c>
      <c r="I8" s="213" t="str">
        <v/>
      </c>
      <c r="J8" s="213" t="str">
        <v/>
      </c>
      <c r="K8" s="217" t="str">
        <v/>
      </c>
      <c r="M8" s="225" t="s">
        <v>496</v>
      </c>
      <c r="N8" s="228">
        <f>COUNTIFS('2026 Outlook'!$A$4:$A$162,$N$11,'2026 Outlook'!$F$4:$F$162,"")</f>
        <v>1</v>
      </c>
    </row>
    <row r="9" spans="1:14" ht="15.75" thickBot="1" x14ac:dyDescent="0.3">
      <c r="A9" s="211" t="str">
        <v>Waiver add</v>
      </c>
      <c r="B9" s="212" t="str">
        <v>Bhayshul Tuten</v>
      </c>
      <c r="C9" s="213" t="str">
        <v>RB</v>
      </c>
      <c r="D9" s="213" t="str">
        <v>JAX</v>
      </c>
      <c r="E9" s="214">
        <v>57</v>
      </c>
      <c r="F9" s="215">
        <v>6</v>
      </c>
      <c r="G9" s="215">
        <v>15</v>
      </c>
      <c r="H9" s="216">
        <v>9</v>
      </c>
      <c r="I9" s="213" t="str">
        <v/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0</v>
      </c>
    </row>
    <row r="10" spans="1:14" x14ac:dyDescent="0.25">
      <c r="A10" s="211" t="str">
        <v>Waiver add</v>
      </c>
      <c r="B10" s="212" t="str">
        <v>RJ Harvey</v>
      </c>
      <c r="C10" s="213" t="str">
        <v>RB</v>
      </c>
      <c r="D10" s="213" t="str">
        <v>DEN</v>
      </c>
      <c r="E10" s="214">
        <v>97.6</v>
      </c>
      <c r="F10" s="215">
        <v>10</v>
      </c>
      <c r="G10" s="215">
        <v>15</v>
      </c>
      <c r="H10" s="216">
        <v>5</v>
      </c>
      <c r="I10" s="213" t="str">
        <v/>
      </c>
      <c r="J10" s="213" t="str">
        <v/>
      </c>
      <c r="K10" s="217" t="str">
        <v/>
      </c>
    </row>
    <row r="11" spans="1:14" x14ac:dyDescent="0.25">
      <c r="A11" s="211" t="str">
        <v>Waiver add</v>
      </c>
      <c r="B11" s="212" t="str">
        <v>Kyle Monangai</v>
      </c>
      <c r="C11" s="213" t="str">
        <v>RB</v>
      </c>
      <c r="D11" s="213" t="str">
        <v>CHI</v>
      </c>
      <c r="E11" s="214">
        <v>98.8</v>
      </c>
      <c r="F11" s="215">
        <v>10</v>
      </c>
      <c r="G11" s="215">
        <v>15</v>
      </c>
      <c r="H11" s="216">
        <v>5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460</v>
      </c>
    </row>
    <row r="12" spans="1:14" x14ac:dyDescent="0.25">
      <c r="A12" s="211" t="str">
        <v>Round 9</v>
      </c>
      <c r="B12" s="212" t="str">
        <v>Braelon Allen</v>
      </c>
      <c r="C12" s="213" t="str">
        <v>RB</v>
      </c>
      <c r="D12" s="213" t="str">
        <v>NYJ</v>
      </c>
      <c r="E12" s="214" t="str">
        <v/>
      </c>
      <c r="F12" s="215" t="str">
        <v/>
      </c>
      <c r="G12" s="215">
        <v>9</v>
      </c>
      <c r="H12" s="216" t="str">
        <v/>
      </c>
      <c r="I12" s="213" t="str">
        <v/>
      </c>
      <c r="J12" s="213" t="str">
        <v/>
      </c>
      <c r="K12" s="217" t="str">
        <v>12-tm full-PPR ADP 171.2</v>
      </c>
    </row>
    <row r="13" spans="1:14" x14ac:dyDescent="0.25">
      <c r="A13" s="211" t="str">
        <v>Round 2</v>
      </c>
      <c r="B13" s="212" t="str">
        <v>Jaxon Smith-Njigba</v>
      </c>
      <c r="C13" s="213" t="str">
        <v>WR</v>
      </c>
      <c r="D13" s="213" t="str">
        <v>SEA</v>
      </c>
      <c r="E13" s="214">
        <v>7.1</v>
      </c>
      <c r="F13" s="215">
        <v>1</v>
      </c>
      <c r="G13" s="215">
        <v>2</v>
      </c>
      <c r="H13" s="216">
        <v>1</v>
      </c>
      <c r="I13" s="213" t="str">
        <v/>
      </c>
      <c r="J13" s="213" t="str">
        <v/>
      </c>
      <c r="K13" s="217" t="str">
        <v/>
      </c>
    </row>
    <row r="14" spans="1:14" x14ac:dyDescent="0.25">
      <c r="A14" s="211" t="str">
        <v>Round 4</v>
      </c>
      <c r="B14" s="212" t="str">
        <v>Emeka Egbuka</v>
      </c>
      <c r="C14" s="213" t="str">
        <v>WR</v>
      </c>
      <c r="D14" s="213" t="str">
        <v>TB</v>
      </c>
      <c r="E14" s="214">
        <v>44.5</v>
      </c>
      <c r="F14" s="215">
        <v>5</v>
      </c>
      <c r="G14" s="215">
        <v>4</v>
      </c>
      <c r="H14" s="216">
        <v>-1</v>
      </c>
      <c r="I14" s="213" t="str">
        <v/>
      </c>
      <c r="J14" s="213" t="str">
        <v/>
      </c>
      <c r="K14" s="217" t="str">
        <v/>
      </c>
    </row>
    <row r="15" spans="1:14" x14ac:dyDescent="0.25">
      <c r="A15" s="211" t="str">
        <v>Round 7</v>
      </c>
      <c r="B15" s="212" t="str">
        <v>Brian Thomas Jr.</v>
      </c>
      <c r="C15" s="213" t="str">
        <v>WR</v>
      </c>
      <c r="D15" s="213" t="str">
        <v>JAX</v>
      </c>
      <c r="E15" s="214">
        <v>74.599999999999994</v>
      </c>
      <c r="F15" s="215">
        <v>8</v>
      </c>
      <c r="G15" s="215">
        <v>7</v>
      </c>
      <c r="H15" s="216">
        <v>-1</v>
      </c>
      <c r="I15" s="213" t="str">
        <v>★</v>
      </c>
      <c r="J15" s="213" t="str">
        <v/>
      </c>
      <c r="K15" s="217" t="str">
        <v/>
      </c>
    </row>
    <row r="16" spans="1:14" x14ac:dyDescent="0.25">
      <c r="A16" s="211" t="str">
        <v>Round 6</v>
      </c>
      <c r="B16" s="212" t="str">
        <v>Ricky Pearsall</v>
      </c>
      <c r="C16" s="213" t="str">
        <v>WR</v>
      </c>
      <c r="D16" s="213" t="str">
        <v>SF</v>
      </c>
      <c r="E16" s="214">
        <v>98.6</v>
      </c>
      <c r="F16" s="215">
        <v>10</v>
      </c>
      <c r="G16" s="215">
        <v>6</v>
      </c>
      <c r="H16" s="216">
        <v>-4</v>
      </c>
      <c r="I16" s="213" t="str">
        <v/>
      </c>
      <c r="J16" s="213" t="str">
        <v/>
      </c>
      <c r="K16" s="217" t="str">
        <v/>
      </c>
    </row>
    <row r="17" spans="1:11" x14ac:dyDescent="0.25">
      <c r="A17" s="211" t="str">
        <v>Waiver add</v>
      </c>
      <c r="B17" s="212" t="str">
        <v>Isaac TeSlaa</v>
      </c>
      <c r="C17" s="213" t="str">
        <v>WR</v>
      </c>
      <c r="D17" s="213" t="str">
        <v>DET</v>
      </c>
      <c r="E17" s="214">
        <v>155.4</v>
      </c>
      <c r="F17" s="215">
        <v>16</v>
      </c>
      <c r="G17" s="215">
        <v>15</v>
      </c>
      <c r="H17" s="216">
        <v>-1</v>
      </c>
      <c r="I17" s="213" t="str">
        <v/>
      </c>
      <c r="J17" s="213" t="str">
        <v/>
      </c>
      <c r="K17" s="217" t="str">
        <v/>
      </c>
    </row>
    <row r="18" spans="1:11" x14ac:dyDescent="0.25">
      <c r="A18" s="211" t="str">
        <v>Round 14</v>
      </c>
      <c r="B18" s="212" t="str">
        <v>Trey McBride</v>
      </c>
      <c r="C18" s="213" t="str">
        <v>TE</v>
      </c>
      <c r="D18" s="213" t="str">
        <v>ARI</v>
      </c>
      <c r="E18" s="214">
        <v>37.5</v>
      </c>
      <c r="F18" s="215">
        <v>4</v>
      </c>
      <c r="G18" s="215">
        <v>14</v>
      </c>
      <c r="H18" s="216">
        <v>10</v>
      </c>
      <c r="I18" s="213" t="str">
        <v>★</v>
      </c>
      <c r="J18" s="213" t="str">
        <v/>
      </c>
      <c r="K18" s="217" t="str">
        <v/>
      </c>
    </row>
    <row r="19" spans="1:11" ht="15.75" thickBot="1" x14ac:dyDescent="0.3">
      <c r="A19" s="218" t="str">
        <v>Waiver add</v>
      </c>
      <c r="B19" s="219" t="str">
        <v>Harold Fannin Jr.</v>
      </c>
      <c r="C19" s="220" t="str">
        <v>TE</v>
      </c>
      <c r="D19" s="220" t="str">
        <v>CLE</v>
      </c>
      <c r="E19" s="221">
        <v>79.599999999999994</v>
      </c>
      <c r="F19" s="222">
        <v>8</v>
      </c>
      <c r="G19" s="222">
        <v>15</v>
      </c>
      <c r="H19" s="223">
        <v>7</v>
      </c>
      <c r="I19" s="220" t="str">
        <v/>
      </c>
      <c r="J19" s="220" t="str">
        <v/>
      </c>
      <c r="K19" s="224" t="str">
        <v/>
      </c>
    </row>
    <row r="20" spans="1:11" ht="15.75" thickBot="1" x14ac:dyDescent="0.3">
      <c r="A20" s="169"/>
      <c r="B20" s="173"/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ht="20.100000000000001" customHeight="1" x14ac:dyDescent="0.25">
      <c r="A21" s="275" t="s">
        <v>513</v>
      </c>
      <c r="B21" s="276"/>
    </row>
    <row r="22" spans="1:11" x14ac:dyDescent="0.25">
      <c r="A22" s="231" t="s">
        <v>392</v>
      </c>
      <c r="B22" s="232">
        <f>COUNTIFS('2026 Outlook'!$A$4:$A$162,$N$11,'2026 Outlook'!$D$4:$D$162,"QB")</f>
        <v>3</v>
      </c>
    </row>
    <row r="23" spans="1:11" x14ac:dyDescent="0.25">
      <c r="A23" s="233" t="s">
        <v>393</v>
      </c>
      <c r="B23" s="234">
        <f>COUNTIFS('2026 Outlook'!$A$4:$A$162,$N$11,'2026 Outlook'!$D$4:$D$162,"RB")</f>
        <v>7</v>
      </c>
    </row>
    <row r="24" spans="1:11" x14ac:dyDescent="0.25">
      <c r="A24" s="235" t="s">
        <v>394</v>
      </c>
      <c r="B24" s="232">
        <f>COUNTIFS('2026 Outlook'!$A$4:$A$162,$N$11,'2026 Outlook'!$D$4:$D$162,"WR")</f>
        <v>5</v>
      </c>
    </row>
    <row r="25" spans="1:11" x14ac:dyDescent="0.25">
      <c r="A25" s="236" t="s">
        <v>395</v>
      </c>
      <c r="B25" s="234">
        <f>COUNTIFS('2026 Outlook'!$A$4:$A$162,$N$11,'2026 Outlook'!$D$4:$D$162,"TE")</f>
        <v>2</v>
      </c>
    </row>
    <row r="26" spans="1:11" x14ac:dyDescent="0.25">
      <c r="A26" s="237" t="s">
        <v>396</v>
      </c>
      <c r="B26" s="232">
        <f>COUNTIFS('2026 Outlook'!$A$4:$A$162,$N$11,'2026 Outlook'!$D$4:$D$162,"K")</f>
        <v>0</v>
      </c>
    </row>
    <row r="27" spans="1:11" x14ac:dyDescent="0.25">
      <c r="A27" s="238" t="s">
        <v>397</v>
      </c>
      <c r="B27" s="234">
        <f>COUNTIFS('2026 Outlook'!$A$4:$A$162,$N$11,'2026 Outlook'!$D$4:$D$162,"DEF")</f>
        <v>0</v>
      </c>
    </row>
    <row r="28" spans="1:11" ht="15.75" thickBot="1" x14ac:dyDescent="0.3">
      <c r="A28" s="239" t="s">
        <v>514</v>
      </c>
      <c r="B28" s="240">
        <f>SUM(B22:B27)</f>
        <v>17</v>
      </c>
    </row>
  </sheetData>
  <mergeCells count="3">
    <mergeCell ref="A1:K1"/>
    <mergeCell ref="M2:N2"/>
    <mergeCell ref="A21:B21"/>
  </mergeCells>
  <conditionalFormatting sqref="A3:K20">
    <cfRule type="expression" dxfId="71" priority="11">
      <formula>AND($B3&lt;&gt;"",MOD(ROW(),2)=0)</formula>
    </cfRule>
  </conditionalFormatting>
  <conditionalFormatting sqref="A4:K19">
    <cfRule type="expression" dxfId="70" priority="12">
      <formula>AND($C4&lt;&gt;"",$C4&lt;&gt;$C3)</formula>
    </cfRule>
  </conditionalFormatting>
  <conditionalFormatting sqref="C3:C20">
    <cfRule type="cellIs" dxfId="69" priority="1" operator="equal">
      <formula>"QB"</formula>
    </cfRule>
    <cfRule type="cellIs" dxfId="68" priority="2" operator="equal">
      <formula>"RB"</formula>
    </cfRule>
    <cfRule type="cellIs" dxfId="67" priority="3" operator="equal">
      <formula>"WR"</formula>
    </cfRule>
    <cfRule type="cellIs" dxfId="66" priority="4" operator="equal">
      <formula>"TE"</formula>
    </cfRule>
    <cfRule type="cellIs" dxfId="65" priority="5" operator="equal">
      <formula>"K"</formula>
    </cfRule>
    <cfRule type="cellIs" dxfId="64" priority="6" operator="equal">
      <formula>"DEF"</formula>
    </cfRule>
  </conditionalFormatting>
  <conditionalFormatting sqref="H3:H20">
    <cfRule type="cellIs" dxfId="63" priority="7" operator="greaterThan">
      <formula>0</formula>
    </cfRule>
    <cfRule type="cellIs" dxfId="62" priority="8" operator="lessThan">
      <formula>0</formula>
    </cfRule>
  </conditionalFormatting>
  <conditionalFormatting sqref="I3:I20">
    <cfRule type="containsText" dxfId="61" priority="9" operator="containsText" text="★">
      <formula>NOT(ISERROR(SEARCH("★",I3)))</formula>
    </cfRule>
  </conditionalFormatting>
  <conditionalFormatting sqref="J3:J20">
    <cfRule type="expression" dxfId="60" priority="10">
      <formula>$J3&lt;&gt;""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DFAA-7658-494D-9086-910F08013570}">
  <dimension ref="A1:N27"/>
  <sheetViews>
    <sheetView topLeftCell="C1" workbookViewId="0">
      <pane ySplit="2" topLeftCell="A3" activePane="bottomLeft" state="frozen"/>
      <selection pane="bottomLeft" sqref="A1:K17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501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8">_xlfn.LET(_xlpm.r,_xlfn._xlws.FILTER('2026 Outlook'!$B$4:$L$162,'2026 Outlook'!$A$4:$A$162=$N$11,"no players"),_xlpm.s,_xlfn.SORTBY(_xlpm.r,MATCH(INDEX(_xlpm.r,0,3),{"QB";"RB";"WR";"TE";"K";"DEF"},0),1,INDEX(_xlpm.r,0,5),1),IF(_xlpm.s="","",_xlpm.s))</f>
        <v>Round 7</v>
      </c>
      <c r="B3" s="212" t="str">
        <v>Bo Nix</v>
      </c>
      <c r="C3" s="213" t="str">
        <v>QB</v>
      </c>
      <c r="D3" s="213" t="str">
        <v>DEN</v>
      </c>
      <c r="E3" s="214">
        <v>120.2</v>
      </c>
      <c r="F3" s="215">
        <v>13</v>
      </c>
      <c r="G3" s="215">
        <v>7</v>
      </c>
      <c r="H3" s="216">
        <v>-6</v>
      </c>
      <c r="I3" s="213" t="str">
        <v/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16</v>
      </c>
    </row>
    <row r="4" spans="1:14" x14ac:dyDescent="0.25">
      <c r="A4" s="211" t="str">
        <v>Waiver add</v>
      </c>
      <c r="B4" s="212" t="str">
        <v>Baker Mayfield</v>
      </c>
      <c r="C4" s="213" t="str">
        <v>QB</v>
      </c>
      <c r="D4" s="213" t="str">
        <v>TB</v>
      </c>
      <c r="E4" s="214">
        <v>131.6</v>
      </c>
      <c r="F4" s="215">
        <v>14</v>
      </c>
      <c r="G4" s="215">
        <v>15</v>
      </c>
      <c r="H4" s="216">
        <v>1</v>
      </c>
      <c r="I4" s="213" t="str">
        <v/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4</v>
      </c>
    </row>
    <row r="5" spans="1:14" x14ac:dyDescent="0.25">
      <c r="A5" s="211" t="str">
        <v>Round 1</v>
      </c>
      <c r="B5" s="212" t="str">
        <v>Saquon Barkley</v>
      </c>
      <c r="C5" s="213" t="str">
        <v>RB</v>
      </c>
      <c r="D5" s="213" t="str">
        <v>PHI</v>
      </c>
      <c r="E5" s="214">
        <v>16.7</v>
      </c>
      <c r="F5" s="215">
        <v>2</v>
      </c>
      <c r="G5" s="215">
        <v>1</v>
      </c>
      <c r="H5" s="216">
        <v>-1</v>
      </c>
      <c r="I5" s="213" t="str">
        <v>★</v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87.356250000000017</v>
      </c>
    </row>
    <row r="6" spans="1:14" x14ac:dyDescent="0.25">
      <c r="A6" s="211" t="str">
        <v>Round 5</v>
      </c>
      <c r="B6" s="212" t="str">
        <v>Josh Jacobs</v>
      </c>
      <c r="C6" s="213" t="str">
        <v>RB</v>
      </c>
      <c r="D6" s="213" t="str">
        <v>GB</v>
      </c>
      <c r="E6" s="214">
        <v>24.7</v>
      </c>
      <c r="F6" s="215">
        <v>3</v>
      </c>
      <c r="G6" s="215">
        <v>5</v>
      </c>
      <c r="H6" s="216">
        <v>2</v>
      </c>
      <c r="I6" s="213" t="str">
        <v>★</v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10</v>
      </c>
    </row>
    <row r="7" spans="1:14" x14ac:dyDescent="0.25">
      <c r="A7" s="211" t="str">
        <v>Round 15</v>
      </c>
      <c r="B7" s="212" t="str">
        <v>Bucky Irving</v>
      </c>
      <c r="C7" s="213" t="str">
        <v>RB</v>
      </c>
      <c r="D7" s="213" t="str">
        <v>TB</v>
      </c>
      <c r="E7" s="214">
        <v>46.1</v>
      </c>
      <c r="F7" s="215">
        <v>5</v>
      </c>
      <c r="G7" s="215">
        <v>15</v>
      </c>
      <c r="H7" s="216">
        <v>10</v>
      </c>
      <c r="I7" s="213" t="str">
        <v>★</v>
      </c>
      <c r="J7" s="213" t="str">
        <v/>
      </c>
      <c r="K7" s="217" t="str">
        <v/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Garrett Wilson</v>
      </c>
    </row>
    <row r="8" spans="1:14" x14ac:dyDescent="0.25">
      <c r="A8" s="211" t="str">
        <v>Waiver add</v>
      </c>
      <c r="B8" s="212" t="str">
        <v>Tyrone Tracy Jr.</v>
      </c>
      <c r="C8" s="213" t="str">
        <v>RB</v>
      </c>
      <c r="D8" s="213" t="str">
        <v>NYG</v>
      </c>
      <c r="E8" s="214">
        <v>156.1</v>
      </c>
      <c r="F8" s="215">
        <v>16</v>
      </c>
      <c r="G8" s="215">
        <v>15</v>
      </c>
      <c r="H8" s="216">
        <v>-1</v>
      </c>
      <c r="I8" s="213" t="str">
        <v/>
      </c>
      <c r="J8" s="213" t="str">
        <v/>
      </c>
      <c r="K8" s="217" t="str">
        <v/>
      </c>
      <c r="M8" s="225" t="s">
        <v>496</v>
      </c>
      <c r="N8" s="228">
        <f>COUNTIFS('2026 Outlook'!$A$4:$A$162,$N$11,'2026 Outlook'!$F$4:$F$162,"")</f>
        <v>0</v>
      </c>
    </row>
    <row r="9" spans="1:14" ht="15.75" thickBot="1" x14ac:dyDescent="0.3">
      <c r="A9" s="211" t="str">
        <v>Round 3</v>
      </c>
      <c r="B9" s="212" t="str">
        <v>George Pickens</v>
      </c>
      <c r="C9" s="213" t="str">
        <v>WR</v>
      </c>
      <c r="D9" s="213" t="str">
        <v>DAL</v>
      </c>
      <c r="E9" s="214">
        <v>19.2</v>
      </c>
      <c r="F9" s="215">
        <v>2</v>
      </c>
      <c r="G9" s="215">
        <v>3</v>
      </c>
      <c r="H9" s="216">
        <v>1</v>
      </c>
      <c r="I9" s="213" t="str">
        <v/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0</v>
      </c>
    </row>
    <row r="10" spans="1:14" x14ac:dyDescent="0.25">
      <c r="A10" s="211" t="str">
        <v>Round 8</v>
      </c>
      <c r="B10" s="212" t="str">
        <v>Rashee Rice</v>
      </c>
      <c r="C10" s="213" t="str">
        <v>WR</v>
      </c>
      <c r="D10" s="213" t="str">
        <v>KC</v>
      </c>
      <c r="E10" s="214">
        <v>27</v>
      </c>
      <c r="F10" s="215">
        <v>3</v>
      </c>
      <c r="G10" s="215">
        <v>8</v>
      </c>
      <c r="H10" s="216">
        <v>5</v>
      </c>
      <c r="I10" s="213" t="str">
        <v/>
      </c>
      <c r="J10" s="213" t="str">
        <v/>
      </c>
      <c r="K10" s="217" t="str">
        <v/>
      </c>
    </row>
    <row r="11" spans="1:14" x14ac:dyDescent="0.25">
      <c r="A11" s="211" t="str">
        <v>Round 14</v>
      </c>
      <c r="B11" s="212" t="str">
        <v>Garrett Wilson</v>
      </c>
      <c r="C11" s="213" t="str">
        <v>WR</v>
      </c>
      <c r="D11" s="213" t="str">
        <v>NYJ</v>
      </c>
      <c r="E11" s="214">
        <v>30.8</v>
      </c>
      <c r="F11" s="215">
        <v>4</v>
      </c>
      <c r="G11" s="215">
        <v>14</v>
      </c>
      <c r="H11" s="216">
        <v>10</v>
      </c>
      <c r="I11" s="213" t="str">
        <v>★</v>
      </c>
      <c r="J11" s="213" t="str">
        <v/>
      </c>
      <c r="K11" s="217" t="str">
        <v/>
      </c>
      <c r="M11" s="207" t="s">
        <v>512</v>
      </c>
      <c r="N11" s="207" t="s">
        <v>465</v>
      </c>
    </row>
    <row r="12" spans="1:14" x14ac:dyDescent="0.25">
      <c r="A12" s="211" t="str">
        <v>Round 2</v>
      </c>
      <c r="B12" s="212" t="str">
        <v>DJ Moore</v>
      </c>
      <c r="C12" s="213" t="str">
        <v>WR</v>
      </c>
      <c r="D12" s="213" t="str">
        <v>BUF</v>
      </c>
      <c r="E12" s="214">
        <v>66</v>
      </c>
      <c r="F12" s="215">
        <v>7</v>
      </c>
      <c r="G12" s="215">
        <v>2</v>
      </c>
      <c r="H12" s="216">
        <v>-5</v>
      </c>
      <c r="I12" s="213" t="str">
        <v/>
      </c>
      <c r="J12" s="213" t="str">
        <v/>
      </c>
      <c r="K12" s="217" t="str">
        <v/>
      </c>
    </row>
    <row r="13" spans="1:14" x14ac:dyDescent="0.25">
      <c r="A13" s="211" t="str">
        <v>Round 6</v>
      </c>
      <c r="B13" s="212" t="str">
        <v>Jakobi Meyers</v>
      </c>
      <c r="C13" s="213" t="str">
        <v>WR</v>
      </c>
      <c r="D13" s="213" t="str">
        <v>JAX</v>
      </c>
      <c r="E13" s="214">
        <v>98.3</v>
      </c>
      <c r="F13" s="215">
        <v>10</v>
      </c>
      <c r="G13" s="215">
        <v>6</v>
      </c>
      <c r="H13" s="216">
        <v>-4</v>
      </c>
      <c r="I13" s="213" t="str">
        <v/>
      </c>
      <c r="J13" s="213" t="str">
        <v/>
      </c>
      <c r="K13" s="217" t="str">
        <v/>
      </c>
    </row>
    <row r="14" spans="1:14" x14ac:dyDescent="0.25">
      <c r="A14" s="211" t="str">
        <v>Waiver add</v>
      </c>
      <c r="B14" s="212" t="str">
        <v>Jayden Higgins</v>
      </c>
      <c r="C14" s="213" t="str">
        <v>WR</v>
      </c>
      <c r="D14" s="213" t="str">
        <v>HOU</v>
      </c>
      <c r="E14" s="214">
        <v>113.6</v>
      </c>
      <c r="F14" s="215">
        <v>12</v>
      </c>
      <c r="G14" s="215">
        <v>15</v>
      </c>
      <c r="H14" s="216">
        <v>3</v>
      </c>
      <c r="I14" s="213" t="str">
        <v/>
      </c>
      <c r="J14" s="213" t="str">
        <v/>
      </c>
      <c r="K14" s="217" t="str">
        <v/>
      </c>
    </row>
    <row r="15" spans="1:14" x14ac:dyDescent="0.25">
      <c r="A15" s="211" t="str">
        <v>Round 4</v>
      </c>
      <c r="B15" s="212" t="str">
        <v>Travis Hunter</v>
      </c>
      <c r="C15" s="213" t="str">
        <v>WR</v>
      </c>
      <c r="D15" s="213" t="str">
        <v>JAX</v>
      </c>
      <c r="E15" s="214">
        <v>160.9</v>
      </c>
      <c r="F15" s="215">
        <v>17</v>
      </c>
      <c r="G15" s="215">
        <v>4</v>
      </c>
      <c r="H15" s="216">
        <v>-13</v>
      </c>
      <c r="I15" s="213" t="str">
        <v/>
      </c>
      <c r="J15" s="213" t="str">
        <v/>
      </c>
      <c r="K15" s="217" t="str">
        <v/>
      </c>
    </row>
    <row r="16" spans="1:14" x14ac:dyDescent="0.25">
      <c r="A16" s="211" t="str">
        <v>Waiver add</v>
      </c>
      <c r="B16" s="212" t="str">
        <v>Kyle Pitts Sr.</v>
      </c>
      <c r="C16" s="213" t="str">
        <v>TE</v>
      </c>
      <c r="D16" s="213" t="str">
        <v>ATL</v>
      </c>
      <c r="E16" s="214">
        <v>88.5</v>
      </c>
      <c r="F16" s="215">
        <v>9</v>
      </c>
      <c r="G16" s="215">
        <v>15</v>
      </c>
      <c r="H16" s="216">
        <v>6</v>
      </c>
      <c r="I16" s="213" t="str">
        <v/>
      </c>
      <c r="J16" s="213" t="str">
        <v/>
      </c>
      <c r="K16" s="217" t="str">
        <v/>
      </c>
    </row>
    <row r="17" spans="1:11" x14ac:dyDescent="0.25">
      <c r="A17" s="211" t="str">
        <v>Round 13</v>
      </c>
      <c r="B17" s="212" t="str">
        <v>Chase McLaughlin</v>
      </c>
      <c r="C17" s="213" t="str">
        <v>K</v>
      </c>
      <c r="D17" s="213" t="str">
        <v>TB</v>
      </c>
      <c r="E17" s="214">
        <v>164.4</v>
      </c>
      <c r="F17" s="215">
        <v>17</v>
      </c>
      <c r="G17" s="215">
        <v>13</v>
      </c>
      <c r="H17" s="216">
        <v>-4</v>
      </c>
      <c r="I17" s="213" t="str">
        <v/>
      </c>
      <c r="J17" s="213" t="str">
        <v/>
      </c>
      <c r="K17" s="217" t="str">
        <v/>
      </c>
    </row>
    <row r="18" spans="1:11" ht="15.75" thickBot="1" x14ac:dyDescent="0.3">
      <c r="A18" s="218" t="str">
        <v>Waiver add</v>
      </c>
      <c r="B18" s="219" t="str">
        <v>Cowboys</v>
      </c>
      <c r="C18" s="220" t="str">
        <v>DEF</v>
      </c>
      <c r="D18" s="220" t="str">
        <v>DAL</v>
      </c>
      <c r="E18" s="221">
        <v>133.6</v>
      </c>
      <c r="F18" s="222">
        <v>14</v>
      </c>
      <c r="G18" s="222">
        <v>15</v>
      </c>
      <c r="H18" s="223">
        <v>1</v>
      </c>
      <c r="I18" s="220" t="str">
        <v/>
      </c>
      <c r="J18" s="220" t="str">
        <v/>
      </c>
      <c r="K18" s="224" t="str">
        <v/>
      </c>
    </row>
    <row r="19" spans="1:11" ht="15.75" thickBot="1" x14ac:dyDescent="0.3">
      <c r="A19" s="169"/>
      <c r="B19" s="173"/>
      <c r="C19" s="157"/>
      <c r="D19" s="157"/>
      <c r="E19" s="158"/>
      <c r="F19" s="159"/>
      <c r="G19" s="159"/>
      <c r="H19" s="160"/>
      <c r="I19" s="157"/>
      <c r="J19" s="157"/>
      <c r="K19" s="157"/>
    </row>
    <row r="20" spans="1:11" ht="20.100000000000001" customHeight="1" x14ac:dyDescent="0.25">
      <c r="A20" s="275" t="s">
        <v>513</v>
      </c>
      <c r="B20" s="276"/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x14ac:dyDescent="0.25">
      <c r="A21" s="231" t="s">
        <v>392</v>
      </c>
      <c r="B21" s="232">
        <f>COUNTIFS('2026 Outlook'!$A$4:$A$162,$N$11,'2026 Outlook'!$D$4:$D$162,"QB")</f>
        <v>2</v>
      </c>
    </row>
    <row r="22" spans="1:11" x14ac:dyDescent="0.25">
      <c r="A22" s="233" t="s">
        <v>393</v>
      </c>
      <c r="B22" s="234">
        <f>COUNTIFS('2026 Outlook'!$A$4:$A$162,$N$11,'2026 Outlook'!$D$4:$D$162,"RB")</f>
        <v>4</v>
      </c>
    </row>
    <row r="23" spans="1:11" x14ac:dyDescent="0.25">
      <c r="A23" s="235" t="s">
        <v>394</v>
      </c>
      <c r="B23" s="232">
        <f>COUNTIFS('2026 Outlook'!$A$4:$A$162,$N$11,'2026 Outlook'!$D$4:$D$162,"WR")</f>
        <v>7</v>
      </c>
    </row>
    <row r="24" spans="1:11" x14ac:dyDescent="0.25">
      <c r="A24" s="236" t="s">
        <v>395</v>
      </c>
      <c r="B24" s="234">
        <f>COUNTIFS('2026 Outlook'!$A$4:$A$162,$N$11,'2026 Outlook'!$D$4:$D$162,"TE")</f>
        <v>1</v>
      </c>
    </row>
    <row r="25" spans="1:11" x14ac:dyDescent="0.25">
      <c r="A25" s="237" t="s">
        <v>396</v>
      </c>
      <c r="B25" s="232">
        <f>COUNTIFS('2026 Outlook'!$A$4:$A$162,$N$11,'2026 Outlook'!$D$4:$D$162,"K")</f>
        <v>1</v>
      </c>
    </row>
    <row r="26" spans="1:11" x14ac:dyDescent="0.25">
      <c r="A26" s="238" t="s">
        <v>397</v>
      </c>
      <c r="B26" s="234">
        <f>COUNTIFS('2026 Outlook'!$A$4:$A$162,$N$11,'2026 Outlook'!$D$4:$D$162,"DEF")</f>
        <v>1</v>
      </c>
    </row>
    <row r="27" spans="1:11" ht="15.75" thickBot="1" x14ac:dyDescent="0.3">
      <c r="A27" s="239" t="s">
        <v>514</v>
      </c>
      <c r="B27" s="240">
        <f>SUM(B21:B26)</f>
        <v>16</v>
      </c>
    </row>
  </sheetData>
  <mergeCells count="3">
    <mergeCell ref="A1:K1"/>
    <mergeCell ref="M2:N2"/>
    <mergeCell ref="A20:B20"/>
  </mergeCells>
  <conditionalFormatting sqref="A3:K19 C20:K20">
    <cfRule type="expression" dxfId="59" priority="11">
      <formula>AND($B3&lt;&gt;"",MOD(ROW(),2)=0)</formula>
    </cfRule>
  </conditionalFormatting>
  <conditionalFormatting sqref="A4:K18">
    <cfRule type="expression" dxfId="58" priority="12">
      <formula>AND($C4&lt;&gt;"",$C4&lt;&gt;$C3)</formula>
    </cfRule>
  </conditionalFormatting>
  <conditionalFormatting sqref="C3:C20">
    <cfRule type="cellIs" dxfId="57" priority="1" operator="equal">
      <formula>"QB"</formula>
    </cfRule>
    <cfRule type="cellIs" dxfId="56" priority="2" operator="equal">
      <formula>"RB"</formula>
    </cfRule>
    <cfRule type="cellIs" dxfId="55" priority="3" operator="equal">
      <formula>"WR"</formula>
    </cfRule>
    <cfRule type="cellIs" dxfId="54" priority="4" operator="equal">
      <formula>"TE"</formula>
    </cfRule>
    <cfRule type="cellIs" dxfId="53" priority="5" operator="equal">
      <formula>"K"</formula>
    </cfRule>
    <cfRule type="cellIs" dxfId="52" priority="6" operator="equal">
      <formula>"DEF"</formula>
    </cfRule>
  </conditionalFormatting>
  <conditionalFormatting sqref="H3:H20">
    <cfRule type="cellIs" dxfId="51" priority="7" operator="greaterThan">
      <formula>0</formula>
    </cfRule>
    <cfRule type="cellIs" dxfId="50" priority="8" operator="lessThan">
      <formula>0</formula>
    </cfRule>
  </conditionalFormatting>
  <conditionalFormatting sqref="I3:I20">
    <cfRule type="containsText" dxfId="49" priority="9" operator="containsText" text="★">
      <formula>NOT(ISERROR(SEARCH("★",I3)))</formula>
    </cfRule>
  </conditionalFormatting>
  <conditionalFormatting sqref="J3:J20">
    <cfRule type="expression" dxfId="48" priority="10">
      <formula>$J3&lt;&gt;""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EA2E-76D5-4D07-92C7-99E38721AD1A}">
  <dimension ref="A1:N26"/>
  <sheetViews>
    <sheetView workbookViewId="0">
      <pane ySplit="2" topLeftCell="A3" activePane="bottomLeft" state="frozen"/>
      <selection pane="bottomLeft" sqref="A1:K17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502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7">_xlfn.LET(_xlpm.r,_xlfn._xlws.FILTER('2026 Outlook'!$B$4:$L$162,'2026 Outlook'!$A$4:$A$162=$N$11,"no players"),_xlpm.s,_xlfn.SORTBY(_xlpm.r,MATCH(INDEX(_xlpm.r,0,3),{"QB";"RB";"WR";"TE";"K";"DEF"},0),1,INDEX(_xlpm.r,0,5),1),IF(_xlpm.s="","",_xlpm.s))</f>
        <v>Waiver add</v>
      </c>
      <c r="B3" s="212" t="str">
        <v>Brock Purdy</v>
      </c>
      <c r="C3" s="213" t="str">
        <v>QB</v>
      </c>
      <c r="D3" s="213" t="str">
        <v>SF</v>
      </c>
      <c r="E3" s="214">
        <v>101.4</v>
      </c>
      <c r="F3" s="215">
        <v>11</v>
      </c>
      <c r="G3" s="215">
        <v>15</v>
      </c>
      <c r="H3" s="216">
        <v>4</v>
      </c>
      <c r="I3" s="213" t="str">
        <v/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15</v>
      </c>
    </row>
    <row r="4" spans="1:14" x14ac:dyDescent="0.25">
      <c r="A4" s="211" t="str">
        <v>Waiver add</v>
      </c>
      <c r="B4" s="212" t="str">
        <v>Matthew Stafford</v>
      </c>
      <c r="C4" s="213" t="str">
        <v>QB</v>
      </c>
      <c r="D4" s="213" t="str">
        <v>LAR</v>
      </c>
      <c r="E4" s="214">
        <v>102.3</v>
      </c>
      <c r="F4" s="215">
        <v>11</v>
      </c>
      <c r="G4" s="215">
        <v>15</v>
      </c>
      <c r="H4" s="216">
        <v>4</v>
      </c>
      <c r="I4" s="213" t="str">
        <v/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2</v>
      </c>
    </row>
    <row r="5" spans="1:14" x14ac:dyDescent="0.25">
      <c r="A5" s="211" t="str">
        <v>Round 3</v>
      </c>
      <c r="B5" s="212" t="str">
        <v>Jonathan Taylor</v>
      </c>
      <c r="C5" s="213" t="str">
        <v>RB</v>
      </c>
      <c r="D5" s="213" t="str">
        <v>IND</v>
      </c>
      <c r="E5" s="214">
        <v>6.1</v>
      </c>
      <c r="F5" s="215">
        <v>1</v>
      </c>
      <c r="G5" s="215">
        <v>3</v>
      </c>
      <c r="H5" s="216">
        <v>2</v>
      </c>
      <c r="I5" s="213" t="str">
        <v>★</v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67.035714285714292</v>
      </c>
    </row>
    <row r="6" spans="1:14" x14ac:dyDescent="0.25">
      <c r="A6" s="211" t="str">
        <v>Round 1</v>
      </c>
      <c r="B6" s="212" t="str">
        <v>Omarion Hampton</v>
      </c>
      <c r="C6" s="213" t="str">
        <v>RB</v>
      </c>
      <c r="D6" s="213" t="str">
        <v>LAC</v>
      </c>
      <c r="E6" s="214">
        <v>17.2</v>
      </c>
      <c r="F6" s="215">
        <v>2</v>
      </c>
      <c r="G6" s="215">
        <v>1</v>
      </c>
      <c r="H6" s="216">
        <v>-1</v>
      </c>
      <c r="I6" s="213" t="str">
        <v/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9</v>
      </c>
    </row>
    <row r="7" spans="1:14" x14ac:dyDescent="0.25">
      <c r="A7" s="211" t="str">
        <v>Round 13</v>
      </c>
      <c r="B7" s="212" t="str">
        <v>Rhamondre Stevenson</v>
      </c>
      <c r="C7" s="213" t="str">
        <v>RB</v>
      </c>
      <c r="D7" s="213" t="str">
        <v>NE</v>
      </c>
      <c r="E7" s="214">
        <v>74.3</v>
      </c>
      <c r="F7" s="215">
        <v>8</v>
      </c>
      <c r="G7" s="215">
        <v>13</v>
      </c>
      <c r="H7" s="216">
        <v>5</v>
      </c>
      <c r="I7" s="213" t="str">
        <v/>
      </c>
      <c r="J7" s="213" t="str">
        <v/>
      </c>
      <c r="K7" s="217" t="str">
        <v/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Alec Pierce</v>
      </c>
    </row>
    <row r="8" spans="1:14" x14ac:dyDescent="0.25">
      <c r="A8" s="211" t="str">
        <v>Round 9</v>
      </c>
      <c r="B8" s="212" t="str">
        <v>Zach Charbonnet</v>
      </c>
      <c r="C8" s="213" t="str">
        <v>RB</v>
      </c>
      <c r="D8" s="213" t="str">
        <v>SEA</v>
      </c>
      <c r="E8" s="214">
        <v>151.9</v>
      </c>
      <c r="F8" s="215">
        <v>16</v>
      </c>
      <c r="G8" s="215">
        <v>9</v>
      </c>
      <c r="H8" s="216">
        <v>-7</v>
      </c>
      <c r="I8" s="213" t="str">
        <v/>
      </c>
      <c r="J8" s="213" t="str">
        <v>PUP-P</v>
      </c>
      <c r="K8" s="217" t="str">
        <v/>
      </c>
      <c r="M8" s="225" t="s">
        <v>496</v>
      </c>
      <c r="N8" s="228">
        <f>COUNTIFS('2026 Outlook'!$A$4:$A$162,$N$11,'2026 Outlook'!$F$4:$F$162,"")</f>
        <v>1</v>
      </c>
    </row>
    <row r="9" spans="1:14" ht="15.75" thickBot="1" x14ac:dyDescent="0.3">
      <c r="A9" s="211" t="str">
        <v>Round 5</v>
      </c>
      <c r="B9" s="212" t="str">
        <v>Ja'Marr Chase</v>
      </c>
      <c r="C9" s="213" t="str">
        <v>WR</v>
      </c>
      <c r="D9" s="213" t="str">
        <v>CIN</v>
      </c>
      <c r="E9" s="214">
        <v>4.4000000000000004</v>
      </c>
      <c r="F9" s="215">
        <v>1</v>
      </c>
      <c r="G9" s="215">
        <v>5</v>
      </c>
      <c r="H9" s="216">
        <v>4</v>
      </c>
      <c r="I9" s="213" t="str">
        <v>★</v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1</v>
      </c>
    </row>
    <row r="10" spans="1:14" x14ac:dyDescent="0.25">
      <c r="A10" s="211" t="str">
        <v>Round 6</v>
      </c>
      <c r="B10" s="212" t="str">
        <v>Chris Olave</v>
      </c>
      <c r="C10" s="213" t="str">
        <v>WR</v>
      </c>
      <c r="D10" s="213" t="str">
        <v>NO</v>
      </c>
      <c r="E10" s="214">
        <v>23.4</v>
      </c>
      <c r="F10" s="215">
        <v>3</v>
      </c>
      <c r="G10" s="215">
        <v>6</v>
      </c>
      <c r="H10" s="216">
        <v>3</v>
      </c>
      <c r="I10" s="213" t="str">
        <v/>
      </c>
      <c r="J10" s="213" t="str">
        <v/>
      </c>
      <c r="K10" s="217" t="str">
        <v/>
      </c>
    </row>
    <row r="11" spans="1:14" x14ac:dyDescent="0.25">
      <c r="A11" s="211" t="str">
        <v>Round 2</v>
      </c>
      <c r="B11" s="212" t="str">
        <v>Tee Higgins</v>
      </c>
      <c r="C11" s="213" t="str">
        <v>WR</v>
      </c>
      <c r="D11" s="213" t="str">
        <v>CIN</v>
      </c>
      <c r="E11" s="214">
        <v>25.4</v>
      </c>
      <c r="F11" s="215">
        <v>3</v>
      </c>
      <c r="G11" s="215">
        <v>2</v>
      </c>
      <c r="H11" s="216">
        <v>-1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466</v>
      </c>
    </row>
    <row r="12" spans="1:14" x14ac:dyDescent="0.25">
      <c r="A12" s="211" t="str">
        <v>Round 4</v>
      </c>
      <c r="B12" s="212" t="str">
        <v>Tetairoa McMillan</v>
      </c>
      <c r="C12" s="213" t="str">
        <v>WR</v>
      </c>
      <c r="D12" s="213" t="str">
        <v>CAR</v>
      </c>
      <c r="E12" s="214">
        <v>35.200000000000003</v>
      </c>
      <c r="F12" s="215">
        <v>4</v>
      </c>
      <c r="G12" s="215">
        <v>4</v>
      </c>
      <c r="H12" s="216">
        <v>0</v>
      </c>
      <c r="I12" s="213" t="str">
        <v/>
      </c>
      <c r="J12" s="213" t="str">
        <v/>
      </c>
      <c r="K12" s="217" t="str">
        <v/>
      </c>
    </row>
    <row r="13" spans="1:14" x14ac:dyDescent="0.25">
      <c r="A13" s="211" t="str">
        <v>Waiver add</v>
      </c>
      <c r="B13" s="212" t="str">
        <v>Alec Pierce</v>
      </c>
      <c r="C13" s="213" t="str">
        <v>WR</v>
      </c>
      <c r="D13" s="213" t="str">
        <v>IND</v>
      </c>
      <c r="E13" s="214">
        <v>59.8</v>
      </c>
      <c r="F13" s="215">
        <v>6</v>
      </c>
      <c r="G13" s="215">
        <v>15</v>
      </c>
      <c r="H13" s="216">
        <v>9</v>
      </c>
      <c r="I13" s="213" t="str">
        <v/>
      </c>
      <c r="J13" s="213" t="str">
        <v/>
      </c>
      <c r="K13" s="217" t="str">
        <v/>
      </c>
    </row>
    <row r="14" spans="1:14" x14ac:dyDescent="0.25">
      <c r="A14" s="211" t="str">
        <v>Waiver add</v>
      </c>
      <c r="B14" s="212" t="str">
        <v>Darius Slayton</v>
      </c>
      <c r="C14" s="213" t="str">
        <v>WR</v>
      </c>
      <c r="D14" s="213" t="str">
        <v>NYG</v>
      </c>
      <c r="E14" s="214" t="str">
        <v/>
      </c>
      <c r="F14" s="215" t="str">
        <v/>
      </c>
      <c r="G14" s="215">
        <v>15</v>
      </c>
      <c r="H14" s="216" t="str">
        <v/>
      </c>
      <c r="I14" s="213" t="str">
        <v/>
      </c>
      <c r="J14" s="213" t="str">
        <v/>
      </c>
      <c r="K14" s="217" t="str">
        <v>12-tm full-PPR ADP 180.3</v>
      </c>
    </row>
    <row r="15" spans="1:14" x14ac:dyDescent="0.25">
      <c r="A15" s="211" t="str">
        <v>Round 7</v>
      </c>
      <c r="B15" s="212" t="str">
        <v>Tyler Warren</v>
      </c>
      <c r="C15" s="213" t="str">
        <v>TE</v>
      </c>
      <c r="D15" s="213" t="str">
        <v>IND</v>
      </c>
      <c r="E15" s="214">
        <v>61.3</v>
      </c>
      <c r="F15" s="215">
        <v>7</v>
      </c>
      <c r="G15" s="215">
        <v>7</v>
      </c>
      <c r="H15" s="216">
        <v>0</v>
      </c>
      <c r="I15" s="213" t="str">
        <v/>
      </c>
      <c r="J15" s="213" t="str">
        <v/>
      </c>
      <c r="K15" s="217" t="str">
        <v/>
      </c>
    </row>
    <row r="16" spans="1:14" x14ac:dyDescent="0.25">
      <c r="A16" s="211" t="str">
        <v>Round 10</v>
      </c>
      <c r="B16" s="212" t="str">
        <v>Brandon Aubrey</v>
      </c>
      <c r="C16" s="213" t="str">
        <v>K</v>
      </c>
      <c r="D16" s="213" t="str">
        <v>DAL</v>
      </c>
      <c r="E16" s="214">
        <v>128.69999999999999</v>
      </c>
      <c r="F16" s="215">
        <v>13</v>
      </c>
      <c r="G16" s="215">
        <v>10</v>
      </c>
      <c r="H16" s="216">
        <v>-3</v>
      </c>
      <c r="I16" s="213" t="str">
        <v/>
      </c>
      <c r="J16" s="213" t="str">
        <v/>
      </c>
      <c r="K16" s="217" t="str">
        <v/>
      </c>
    </row>
    <row r="17" spans="1:11" ht="15.75" thickBot="1" x14ac:dyDescent="0.3">
      <c r="A17" s="218" t="str">
        <v>Waiver add</v>
      </c>
      <c r="B17" s="219" t="str">
        <v>Steelers</v>
      </c>
      <c r="C17" s="220" t="str">
        <v>DEF</v>
      </c>
      <c r="D17" s="220" t="str">
        <v>PIT</v>
      </c>
      <c r="E17" s="221">
        <v>147.1</v>
      </c>
      <c r="F17" s="222">
        <v>15</v>
      </c>
      <c r="G17" s="222">
        <v>15</v>
      </c>
      <c r="H17" s="223">
        <v>0</v>
      </c>
      <c r="I17" s="220" t="str">
        <v/>
      </c>
      <c r="J17" s="220" t="str">
        <v/>
      </c>
      <c r="K17" s="224" t="str">
        <v/>
      </c>
    </row>
    <row r="18" spans="1:11" ht="15.75" thickBot="1" x14ac:dyDescent="0.3">
      <c r="A18" s="169"/>
      <c r="B18" s="173"/>
      <c r="C18" s="157"/>
      <c r="D18" s="157"/>
      <c r="E18" s="158"/>
      <c r="F18" s="159"/>
      <c r="G18" s="159"/>
      <c r="H18" s="160"/>
      <c r="I18" s="157"/>
      <c r="J18" s="157"/>
      <c r="K18" s="157"/>
    </row>
    <row r="19" spans="1:11" ht="20.100000000000001" customHeight="1" x14ac:dyDescent="0.25">
      <c r="A19" s="275" t="s">
        <v>513</v>
      </c>
      <c r="B19" s="276"/>
      <c r="C19" s="157"/>
      <c r="D19" s="157"/>
      <c r="E19" s="158"/>
      <c r="F19" s="159"/>
      <c r="G19" s="159"/>
      <c r="H19" s="160"/>
      <c r="I19" s="157"/>
      <c r="J19" s="157"/>
      <c r="K19" s="157"/>
    </row>
    <row r="20" spans="1:11" x14ac:dyDescent="0.25">
      <c r="A20" s="231" t="s">
        <v>392</v>
      </c>
      <c r="B20" s="232">
        <f>COUNTIFS('2026 Outlook'!$A$4:$A$162,$N$11,'2026 Outlook'!$D$4:$D$162,"QB")</f>
        <v>2</v>
      </c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x14ac:dyDescent="0.25">
      <c r="A21" s="233" t="s">
        <v>393</v>
      </c>
      <c r="B21" s="234">
        <f>COUNTIFS('2026 Outlook'!$A$4:$A$162,$N$11,'2026 Outlook'!$D$4:$D$162,"RB")</f>
        <v>4</v>
      </c>
    </row>
    <row r="22" spans="1:11" x14ac:dyDescent="0.25">
      <c r="A22" s="235" t="s">
        <v>394</v>
      </c>
      <c r="B22" s="232">
        <f>COUNTIFS('2026 Outlook'!$A$4:$A$162,$N$11,'2026 Outlook'!$D$4:$D$162,"WR")</f>
        <v>6</v>
      </c>
    </row>
    <row r="23" spans="1:11" x14ac:dyDescent="0.25">
      <c r="A23" s="236" t="s">
        <v>395</v>
      </c>
      <c r="B23" s="234">
        <f>COUNTIFS('2026 Outlook'!$A$4:$A$162,$N$11,'2026 Outlook'!$D$4:$D$162,"TE")</f>
        <v>1</v>
      </c>
    </row>
    <row r="24" spans="1:11" x14ac:dyDescent="0.25">
      <c r="A24" s="237" t="s">
        <v>396</v>
      </c>
      <c r="B24" s="232">
        <f>COUNTIFS('2026 Outlook'!$A$4:$A$162,$N$11,'2026 Outlook'!$D$4:$D$162,"K")</f>
        <v>1</v>
      </c>
    </row>
    <row r="25" spans="1:11" x14ac:dyDescent="0.25">
      <c r="A25" s="238" t="s">
        <v>397</v>
      </c>
      <c r="B25" s="234">
        <f>COUNTIFS('2026 Outlook'!$A$4:$A$162,$N$11,'2026 Outlook'!$D$4:$D$162,"DEF")</f>
        <v>1</v>
      </c>
    </row>
    <row r="26" spans="1:11" ht="15.75" thickBot="1" x14ac:dyDescent="0.3">
      <c r="A26" s="239" t="s">
        <v>514</v>
      </c>
      <c r="B26" s="240">
        <f>SUM(B20:B25)</f>
        <v>15</v>
      </c>
    </row>
  </sheetData>
  <mergeCells count="3">
    <mergeCell ref="A1:K1"/>
    <mergeCell ref="M2:N2"/>
    <mergeCell ref="A19:B19"/>
  </mergeCells>
  <conditionalFormatting sqref="A3:K18 C19:K19 A20:K20">
    <cfRule type="expression" dxfId="47" priority="11">
      <formula>AND($B3&lt;&gt;"",MOD(ROW(),2)=0)</formula>
    </cfRule>
  </conditionalFormatting>
  <conditionalFormatting sqref="A4:K17">
    <cfRule type="expression" dxfId="46" priority="12">
      <formula>AND($C4&lt;&gt;"",$C4&lt;&gt;$C3)</formula>
    </cfRule>
  </conditionalFormatting>
  <conditionalFormatting sqref="C3:C20">
    <cfRule type="cellIs" dxfId="45" priority="1" operator="equal">
      <formula>"QB"</formula>
    </cfRule>
    <cfRule type="cellIs" dxfId="44" priority="2" operator="equal">
      <formula>"RB"</formula>
    </cfRule>
    <cfRule type="cellIs" dxfId="43" priority="3" operator="equal">
      <formula>"WR"</formula>
    </cfRule>
    <cfRule type="cellIs" dxfId="42" priority="4" operator="equal">
      <formula>"TE"</formula>
    </cfRule>
    <cfRule type="cellIs" dxfId="41" priority="5" operator="equal">
      <formula>"K"</formula>
    </cfRule>
    <cfRule type="cellIs" dxfId="40" priority="6" operator="equal">
      <formula>"DEF"</formula>
    </cfRule>
  </conditionalFormatting>
  <conditionalFormatting sqref="H3:H20">
    <cfRule type="cellIs" dxfId="39" priority="7" operator="greaterThan">
      <formula>0</formula>
    </cfRule>
    <cfRule type="cellIs" dxfId="38" priority="8" operator="lessThan">
      <formula>0</formula>
    </cfRule>
  </conditionalFormatting>
  <conditionalFormatting sqref="I3:I20">
    <cfRule type="containsText" dxfId="37" priority="9" operator="containsText" text="★">
      <formula>NOT(ISERROR(SEARCH("★",I3)))</formula>
    </cfRule>
  </conditionalFormatting>
  <conditionalFormatting sqref="J3:J20">
    <cfRule type="expression" dxfId="36" priority="10">
      <formula>$J3&lt;&gt;""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F110-8447-4599-8ED1-15AE18E0E6F6}">
  <dimension ref="A1:N28"/>
  <sheetViews>
    <sheetView workbookViewId="0">
      <pane ySplit="2" topLeftCell="A3" activePane="bottomLeft" state="frozen"/>
      <selection pane="bottomLeft" sqref="A1:K17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503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9">_xlfn.LET(_xlpm.r,_xlfn._xlws.FILTER('2026 Outlook'!$B$4:$L$162,'2026 Outlook'!$A$4:$A$162=$N$11,"no players"),_xlpm.s,_xlfn.SORTBY(_xlpm.r,MATCH(INDEX(_xlpm.r,0,3),{"QB";"RB";"WR";"TE";"K";"DEF"},0),1,INDEX(_xlpm.r,0,5),1),IF(_xlpm.s="","",_xlpm.s))</f>
        <v>Waiver add</v>
      </c>
      <c r="B3" s="212" t="str">
        <v>Jacoby Brissett</v>
      </c>
      <c r="C3" s="213" t="str">
        <v>QB</v>
      </c>
      <c r="D3" s="213" t="str">
        <v>ARI</v>
      </c>
      <c r="E3" s="214" t="str">
        <v/>
      </c>
      <c r="F3" s="215" t="str">
        <v/>
      </c>
      <c r="G3" s="215">
        <v>15</v>
      </c>
      <c r="H3" s="216" t="str">
        <v/>
      </c>
      <c r="I3" s="213" t="str">
        <v/>
      </c>
      <c r="J3" s="213" t="str">
        <v/>
      </c>
      <c r="K3" s="217" t="str">
        <v>Undrafted in mocks</v>
      </c>
      <c r="M3" s="44" t="s">
        <v>492</v>
      </c>
      <c r="N3" s="227">
        <f>COUNTIFS('2026 Outlook'!$A$4:$A$162,$N$11)</f>
        <v>17</v>
      </c>
    </row>
    <row r="4" spans="1:14" x14ac:dyDescent="0.25">
      <c r="A4" s="211" t="str">
        <v>Round 1</v>
      </c>
      <c r="B4" s="212" t="str">
        <v>Christian McCaffrey</v>
      </c>
      <c r="C4" s="213" t="str">
        <v>RB</v>
      </c>
      <c r="D4" s="213" t="str">
        <v>SF</v>
      </c>
      <c r="E4" s="214">
        <v>5.0999999999999996</v>
      </c>
      <c r="F4" s="215">
        <v>1</v>
      </c>
      <c r="G4" s="215">
        <v>1</v>
      </c>
      <c r="H4" s="216">
        <v>0</v>
      </c>
      <c r="I4" s="213" t="str">
        <v>★</v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4</v>
      </c>
    </row>
    <row r="5" spans="1:14" x14ac:dyDescent="0.25">
      <c r="A5" s="211" t="str">
        <v>Round 10</v>
      </c>
      <c r="B5" s="212" t="str">
        <v>De'Von Achane</v>
      </c>
      <c r="C5" s="213" t="str">
        <v>RB</v>
      </c>
      <c r="D5" s="213" t="str">
        <v>MIA</v>
      </c>
      <c r="E5" s="214">
        <v>9.6999999999999993</v>
      </c>
      <c r="F5" s="215">
        <v>1</v>
      </c>
      <c r="G5" s="215">
        <v>10</v>
      </c>
      <c r="H5" s="216">
        <v>9</v>
      </c>
      <c r="I5" s="213" t="str">
        <v>★</v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76.666666666666686</v>
      </c>
    </row>
    <row r="6" spans="1:14" x14ac:dyDescent="0.25">
      <c r="A6" s="211" t="str">
        <v>Round 8</v>
      </c>
      <c r="B6" s="212" t="str">
        <v>Cam Skattebo</v>
      </c>
      <c r="C6" s="213" t="str">
        <v>RB</v>
      </c>
      <c r="D6" s="213" t="str">
        <v>NYG</v>
      </c>
      <c r="E6" s="214">
        <v>35.200000000000003</v>
      </c>
      <c r="F6" s="215">
        <v>4</v>
      </c>
      <c r="G6" s="215">
        <v>8</v>
      </c>
      <c r="H6" s="216">
        <v>4</v>
      </c>
      <c r="I6" s="213" t="str">
        <v/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12</v>
      </c>
    </row>
    <row r="7" spans="1:14" x14ac:dyDescent="0.25">
      <c r="A7" s="211" t="str">
        <v>Round 3</v>
      </c>
      <c r="B7" s="212" t="str">
        <v>Chuba Hubbard</v>
      </c>
      <c r="C7" s="213" t="str">
        <v>RB</v>
      </c>
      <c r="D7" s="213" t="str">
        <v>CAR</v>
      </c>
      <c r="E7" s="214">
        <v>81.599999999999994</v>
      </c>
      <c r="F7" s="215">
        <v>9</v>
      </c>
      <c r="G7" s="215">
        <v>3</v>
      </c>
      <c r="H7" s="216">
        <v>-6</v>
      </c>
      <c r="I7" s="213" t="str">
        <v/>
      </c>
      <c r="J7" s="213" t="str">
        <v/>
      </c>
      <c r="K7" s="217" t="str">
        <v/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A.J. Brown</v>
      </c>
    </row>
    <row r="8" spans="1:14" x14ac:dyDescent="0.25">
      <c r="A8" s="211" t="str">
        <v>Waiver add</v>
      </c>
      <c r="B8" s="212" t="str">
        <v>Blake Corum</v>
      </c>
      <c r="C8" s="213" t="str">
        <v>RB</v>
      </c>
      <c r="D8" s="213" t="str">
        <v>LAR</v>
      </c>
      <c r="E8" s="214">
        <v>115</v>
      </c>
      <c r="F8" s="215">
        <v>12</v>
      </c>
      <c r="G8" s="215">
        <v>15</v>
      </c>
      <c r="H8" s="216">
        <v>3</v>
      </c>
      <c r="I8" s="213" t="str">
        <v/>
      </c>
      <c r="J8" s="213" t="str">
        <v/>
      </c>
      <c r="K8" s="217" t="str">
        <v/>
      </c>
      <c r="M8" s="225" t="s">
        <v>496</v>
      </c>
      <c r="N8" s="228">
        <f>COUNTIFS('2026 Outlook'!$A$4:$A$162,$N$11,'2026 Outlook'!$F$4:$F$162,"")</f>
        <v>2</v>
      </c>
    </row>
    <row r="9" spans="1:14" ht="15.75" thickBot="1" x14ac:dyDescent="0.3">
      <c r="A9" s="211" t="str">
        <v>Waiver add</v>
      </c>
      <c r="B9" s="212" t="str">
        <v>Michael Carter</v>
      </c>
      <c r="C9" s="213" t="str">
        <v>RB</v>
      </c>
      <c r="D9" s="213" t="str">
        <v>TEN</v>
      </c>
      <c r="E9" s="214" t="str">
        <v/>
      </c>
      <c r="F9" s="215" t="str">
        <v/>
      </c>
      <c r="G9" s="215">
        <v>15</v>
      </c>
      <c r="H9" s="216" t="str">
        <v/>
      </c>
      <c r="I9" s="213" t="str">
        <v/>
      </c>
      <c r="J9" s="213" t="str">
        <v/>
      </c>
      <c r="K9" s="217" t="str">
        <v>Undrafted in mocks</v>
      </c>
      <c r="M9" s="226" t="s">
        <v>497</v>
      </c>
      <c r="N9" s="230">
        <f>COUNTIFS('2026 Outlook'!$A$4:$A$162,$N$11,'2026 Outlook'!$K$4:$K$162,"&lt;&gt;")</f>
        <v>0</v>
      </c>
    </row>
    <row r="10" spans="1:14" x14ac:dyDescent="0.25">
      <c r="A10" s="211" t="str">
        <v>Round 14</v>
      </c>
      <c r="B10" s="212" t="str">
        <v>A.J. Brown</v>
      </c>
      <c r="C10" s="213" t="str">
        <v>WR</v>
      </c>
      <c r="D10" s="213" t="str">
        <v>NE</v>
      </c>
      <c r="E10" s="214">
        <v>16.2</v>
      </c>
      <c r="F10" s="215">
        <v>2</v>
      </c>
      <c r="G10" s="215">
        <v>14</v>
      </c>
      <c r="H10" s="216">
        <v>12</v>
      </c>
      <c r="I10" s="213" t="str">
        <v>★</v>
      </c>
      <c r="J10" s="213" t="str">
        <v/>
      </c>
      <c r="K10" s="217" t="str">
        <v/>
      </c>
    </row>
    <row r="11" spans="1:14" x14ac:dyDescent="0.25">
      <c r="A11" s="211" t="str">
        <v>Round 4</v>
      </c>
      <c r="B11" s="212" t="str">
        <v>Courtland Sutton</v>
      </c>
      <c r="C11" s="213" t="str">
        <v>WR</v>
      </c>
      <c r="D11" s="213" t="str">
        <v>DEN</v>
      </c>
      <c r="E11" s="214">
        <v>69.400000000000006</v>
      </c>
      <c r="F11" s="215">
        <v>7</v>
      </c>
      <c r="G11" s="215">
        <v>4</v>
      </c>
      <c r="H11" s="216">
        <v>-3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469</v>
      </c>
    </row>
    <row r="12" spans="1:14" x14ac:dyDescent="0.25">
      <c r="A12" s="211" t="str">
        <v>Waiver add</v>
      </c>
      <c r="B12" s="212" t="str">
        <v>Michael Wilson</v>
      </c>
      <c r="C12" s="213" t="str">
        <v>WR</v>
      </c>
      <c r="D12" s="213" t="str">
        <v>ARI</v>
      </c>
      <c r="E12" s="214">
        <v>81.400000000000006</v>
      </c>
      <c r="F12" s="215">
        <v>9</v>
      </c>
      <c r="G12" s="215">
        <v>15</v>
      </c>
      <c r="H12" s="216">
        <v>6</v>
      </c>
      <c r="I12" s="213" t="str">
        <v/>
      </c>
      <c r="J12" s="213" t="str">
        <v/>
      </c>
      <c r="K12" s="217" t="str">
        <v/>
      </c>
    </row>
    <row r="13" spans="1:14" x14ac:dyDescent="0.25">
      <c r="A13" s="211" t="str">
        <v>Round 12</v>
      </c>
      <c r="B13" s="212" t="str">
        <v>Jayden Reed</v>
      </c>
      <c r="C13" s="213" t="str">
        <v>WR</v>
      </c>
      <c r="D13" s="213" t="str">
        <v>GB</v>
      </c>
      <c r="E13" s="214">
        <v>81.8</v>
      </c>
      <c r="F13" s="215">
        <v>9</v>
      </c>
      <c r="G13" s="215">
        <v>12</v>
      </c>
      <c r="H13" s="216">
        <v>3</v>
      </c>
      <c r="I13" s="213" t="str">
        <v/>
      </c>
      <c r="J13" s="213" t="str">
        <v/>
      </c>
      <c r="K13" s="217" t="str">
        <v/>
      </c>
    </row>
    <row r="14" spans="1:14" x14ac:dyDescent="0.25">
      <c r="A14" s="211" t="str">
        <v>Round 7</v>
      </c>
      <c r="B14" s="212" t="str">
        <v>Jerry Jeudy</v>
      </c>
      <c r="C14" s="213" t="str">
        <v>WR</v>
      </c>
      <c r="D14" s="213" t="str">
        <v>CLE</v>
      </c>
      <c r="E14" s="214">
        <v>138.6</v>
      </c>
      <c r="F14" s="215">
        <v>14</v>
      </c>
      <c r="G14" s="215">
        <v>7</v>
      </c>
      <c r="H14" s="216">
        <v>-7</v>
      </c>
      <c r="I14" s="213" t="str">
        <v/>
      </c>
      <c r="J14" s="213" t="str">
        <v/>
      </c>
      <c r="K14" s="217" t="str">
        <v/>
      </c>
    </row>
    <row r="15" spans="1:14" x14ac:dyDescent="0.25">
      <c r="A15" s="211" t="str">
        <v>Round 5</v>
      </c>
      <c r="B15" s="212" t="str">
        <v>Brock Bowers</v>
      </c>
      <c r="C15" s="213" t="str">
        <v>TE</v>
      </c>
      <c r="D15" s="213" t="str">
        <v>LV</v>
      </c>
      <c r="E15" s="214">
        <v>44.1</v>
      </c>
      <c r="F15" s="215">
        <v>5</v>
      </c>
      <c r="G15" s="215">
        <v>5</v>
      </c>
      <c r="H15" s="216">
        <v>0</v>
      </c>
      <c r="I15" s="213" t="str">
        <v>★</v>
      </c>
      <c r="J15" s="213" t="str">
        <v/>
      </c>
      <c r="K15" s="217" t="str">
        <v/>
      </c>
    </row>
    <row r="16" spans="1:14" x14ac:dyDescent="0.25">
      <c r="A16" s="211" t="str">
        <v>Waiver add</v>
      </c>
      <c r="B16" s="212" t="str">
        <v>Colston Loveland</v>
      </c>
      <c r="C16" s="213" t="str">
        <v>TE</v>
      </c>
      <c r="D16" s="213" t="str">
        <v>CHI</v>
      </c>
      <c r="E16" s="214">
        <v>52.6</v>
      </c>
      <c r="F16" s="215">
        <v>6</v>
      </c>
      <c r="G16" s="215">
        <v>15</v>
      </c>
      <c r="H16" s="216">
        <v>9</v>
      </c>
      <c r="I16" s="213" t="str">
        <v/>
      </c>
      <c r="J16" s="213" t="str">
        <v/>
      </c>
      <c r="K16" s="217" t="str">
        <v/>
      </c>
    </row>
    <row r="17" spans="1:11" x14ac:dyDescent="0.25">
      <c r="A17" s="211" t="str">
        <v>Waiver add</v>
      </c>
      <c r="B17" s="212" t="str">
        <v>Juwan Johnson</v>
      </c>
      <c r="C17" s="213" t="str">
        <v>TE</v>
      </c>
      <c r="D17" s="213" t="str">
        <v>NO</v>
      </c>
      <c r="E17" s="214">
        <v>171.2</v>
      </c>
      <c r="F17" s="215">
        <v>18</v>
      </c>
      <c r="G17" s="215">
        <v>15</v>
      </c>
      <c r="H17" s="216">
        <v>-3</v>
      </c>
      <c r="I17" s="213" t="str">
        <v/>
      </c>
      <c r="J17" s="213" t="str">
        <v/>
      </c>
      <c r="K17" s="217" t="str">
        <v/>
      </c>
    </row>
    <row r="18" spans="1:11" x14ac:dyDescent="0.25">
      <c r="A18" s="211" t="str">
        <v>Round 11</v>
      </c>
      <c r="B18" s="212" t="str">
        <v>Cameron Dicker</v>
      </c>
      <c r="C18" s="213" t="str">
        <v>K</v>
      </c>
      <c r="D18" s="213" t="str">
        <v>LAC</v>
      </c>
      <c r="E18" s="214">
        <v>147.6</v>
      </c>
      <c r="F18" s="215">
        <v>15</v>
      </c>
      <c r="G18" s="215">
        <v>11</v>
      </c>
      <c r="H18" s="216">
        <v>-4</v>
      </c>
      <c r="I18" s="213" t="str">
        <v/>
      </c>
      <c r="J18" s="213" t="str">
        <v/>
      </c>
      <c r="K18" s="217" t="str">
        <v/>
      </c>
    </row>
    <row r="19" spans="1:11" ht="15.75" thickBot="1" x14ac:dyDescent="0.3">
      <c r="A19" s="218" t="str">
        <v>Waiver add</v>
      </c>
      <c r="B19" s="219" t="str">
        <v>Broncos</v>
      </c>
      <c r="C19" s="220" t="str">
        <v>DEF</v>
      </c>
      <c r="D19" s="220" t="str">
        <v>DEN</v>
      </c>
      <c r="E19" s="221">
        <v>100.5</v>
      </c>
      <c r="F19" s="222">
        <v>11</v>
      </c>
      <c r="G19" s="222">
        <v>15</v>
      </c>
      <c r="H19" s="223">
        <v>4</v>
      </c>
      <c r="I19" s="220" t="str">
        <v/>
      </c>
      <c r="J19" s="220" t="str">
        <v/>
      </c>
      <c r="K19" s="224" t="str">
        <v/>
      </c>
    </row>
    <row r="20" spans="1:11" ht="15.75" thickBot="1" x14ac:dyDescent="0.3">
      <c r="A20" s="169"/>
      <c r="B20" s="173"/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ht="20.100000000000001" customHeight="1" x14ac:dyDescent="0.25">
      <c r="A21" s="275" t="s">
        <v>513</v>
      </c>
      <c r="B21" s="276"/>
    </row>
    <row r="22" spans="1:11" x14ac:dyDescent="0.25">
      <c r="A22" s="231" t="s">
        <v>392</v>
      </c>
      <c r="B22" s="232">
        <f>COUNTIFS('2026 Outlook'!$A$4:$A$162,$N$11,'2026 Outlook'!$D$4:$D$162,"QB")</f>
        <v>1</v>
      </c>
    </row>
    <row r="23" spans="1:11" x14ac:dyDescent="0.25">
      <c r="A23" s="233" t="s">
        <v>393</v>
      </c>
      <c r="B23" s="234">
        <f>COUNTIFS('2026 Outlook'!$A$4:$A$162,$N$11,'2026 Outlook'!$D$4:$D$162,"RB")</f>
        <v>6</v>
      </c>
    </row>
    <row r="24" spans="1:11" x14ac:dyDescent="0.25">
      <c r="A24" s="235" t="s">
        <v>394</v>
      </c>
      <c r="B24" s="232">
        <f>COUNTIFS('2026 Outlook'!$A$4:$A$162,$N$11,'2026 Outlook'!$D$4:$D$162,"WR")</f>
        <v>5</v>
      </c>
    </row>
    <row r="25" spans="1:11" x14ac:dyDescent="0.25">
      <c r="A25" s="236" t="s">
        <v>395</v>
      </c>
      <c r="B25" s="234">
        <f>COUNTIFS('2026 Outlook'!$A$4:$A$162,$N$11,'2026 Outlook'!$D$4:$D$162,"TE")</f>
        <v>3</v>
      </c>
    </row>
    <row r="26" spans="1:11" x14ac:dyDescent="0.25">
      <c r="A26" s="237" t="s">
        <v>396</v>
      </c>
      <c r="B26" s="232">
        <f>COUNTIFS('2026 Outlook'!$A$4:$A$162,$N$11,'2026 Outlook'!$D$4:$D$162,"K")</f>
        <v>1</v>
      </c>
    </row>
    <row r="27" spans="1:11" x14ac:dyDescent="0.25">
      <c r="A27" s="238" t="s">
        <v>397</v>
      </c>
      <c r="B27" s="234">
        <f>COUNTIFS('2026 Outlook'!$A$4:$A$162,$N$11,'2026 Outlook'!$D$4:$D$162,"DEF")</f>
        <v>1</v>
      </c>
    </row>
    <row r="28" spans="1:11" ht="15.75" thickBot="1" x14ac:dyDescent="0.3">
      <c r="A28" s="239" t="s">
        <v>514</v>
      </c>
      <c r="B28" s="240">
        <f>SUM(B22:B27)</f>
        <v>17</v>
      </c>
    </row>
  </sheetData>
  <mergeCells count="3">
    <mergeCell ref="A1:K1"/>
    <mergeCell ref="M2:N2"/>
    <mergeCell ref="A21:B21"/>
  </mergeCells>
  <conditionalFormatting sqref="A3:K20">
    <cfRule type="expression" dxfId="35" priority="11">
      <formula>AND($B3&lt;&gt;"",MOD(ROW(),2)=0)</formula>
    </cfRule>
  </conditionalFormatting>
  <conditionalFormatting sqref="A4:K19">
    <cfRule type="expression" dxfId="34" priority="12">
      <formula>AND($C4&lt;&gt;"",$C4&lt;&gt;$C3)</formula>
    </cfRule>
  </conditionalFormatting>
  <conditionalFormatting sqref="C3:C20">
    <cfRule type="cellIs" dxfId="33" priority="1" operator="equal">
      <formula>"QB"</formula>
    </cfRule>
    <cfRule type="cellIs" dxfId="32" priority="2" operator="equal">
      <formula>"RB"</formula>
    </cfRule>
    <cfRule type="cellIs" dxfId="31" priority="3" operator="equal">
      <formula>"WR"</formula>
    </cfRule>
    <cfRule type="cellIs" dxfId="30" priority="4" operator="equal">
      <formula>"TE"</formula>
    </cfRule>
    <cfRule type="cellIs" dxfId="29" priority="5" operator="equal">
      <formula>"K"</formula>
    </cfRule>
    <cfRule type="cellIs" dxfId="28" priority="6" operator="equal">
      <formula>"DEF"</formula>
    </cfRule>
  </conditionalFormatting>
  <conditionalFormatting sqref="H3:H20">
    <cfRule type="cellIs" dxfId="27" priority="7" operator="greaterThan">
      <formula>0</formula>
    </cfRule>
    <cfRule type="cellIs" dxfId="26" priority="8" operator="lessThan">
      <formula>0</formula>
    </cfRule>
  </conditionalFormatting>
  <conditionalFormatting sqref="I3:I20">
    <cfRule type="containsText" dxfId="25" priority="9" operator="containsText" text="★">
      <formula>NOT(ISERROR(SEARCH("★",I3)))</formula>
    </cfRule>
  </conditionalFormatting>
  <conditionalFormatting sqref="J3:J20">
    <cfRule type="expression" dxfId="24" priority="10">
      <formula>$J3&lt;&gt;""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42A7-6D7F-4BDA-B14B-A9A9530A2784}">
  <dimension ref="A1:N28"/>
  <sheetViews>
    <sheetView workbookViewId="0">
      <pane ySplit="2" topLeftCell="A3" activePane="bottomLeft" state="frozen"/>
      <selection pane="bottomLeft" sqref="A1:K17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504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9">_xlfn.LET(_xlpm.r,_xlfn._xlws.FILTER('2026 Outlook'!$B$4:$L$162,'2026 Outlook'!$A$4:$A$162=$N$11,"no players"),_xlpm.s,_xlfn.SORTBY(_xlpm.r,MATCH(INDEX(_xlpm.r,0,3),{"QB";"RB";"WR";"TE";"K";"DEF"},0),1,INDEX(_xlpm.r,0,5),1),IF(_xlpm.s="","",_xlpm.s))</f>
        <v>Waiver add</v>
      </c>
      <c r="B3" s="212" t="str">
        <v>Jared Goff</v>
      </c>
      <c r="C3" s="213" t="str">
        <v>QB</v>
      </c>
      <c r="D3" s="213" t="str">
        <v>DET</v>
      </c>
      <c r="E3" s="214">
        <v>94.3</v>
      </c>
      <c r="F3" s="215">
        <v>10</v>
      </c>
      <c r="G3" s="215">
        <v>15</v>
      </c>
      <c r="H3" s="216">
        <v>5</v>
      </c>
      <c r="I3" s="213" t="str">
        <v/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17</v>
      </c>
    </row>
    <row r="4" spans="1:14" x14ac:dyDescent="0.25">
      <c r="A4" s="211" t="str">
        <v>Round 3</v>
      </c>
      <c r="B4" s="212" t="str">
        <v>Derrick Henry</v>
      </c>
      <c r="C4" s="213" t="str">
        <v>RB</v>
      </c>
      <c r="D4" s="213" t="str">
        <v>BAL</v>
      </c>
      <c r="E4" s="214">
        <v>9.9</v>
      </c>
      <c r="F4" s="215">
        <v>1</v>
      </c>
      <c r="G4" s="215">
        <v>3</v>
      </c>
      <c r="H4" s="216">
        <v>2</v>
      </c>
      <c r="I4" s="213" t="str">
        <v>★</v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4</v>
      </c>
    </row>
    <row r="5" spans="1:14" x14ac:dyDescent="0.25">
      <c r="A5" s="211" t="str">
        <v>Round 5</v>
      </c>
      <c r="B5" s="212" t="str">
        <v>D'Andre Swift</v>
      </c>
      <c r="C5" s="213" t="str">
        <v>RB</v>
      </c>
      <c r="D5" s="213" t="str">
        <v>CHI</v>
      </c>
      <c r="E5" s="214">
        <v>45.8</v>
      </c>
      <c r="F5" s="215">
        <v>5</v>
      </c>
      <c r="G5" s="215">
        <v>5</v>
      </c>
      <c r="H5" s="216">
        <v>0</v>
      </c>
      <c r="I5" s="213" t="str">
        <v/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82.481818181818184</v>
      </c>
    </row>
    <row r="6" spans="1:14" x14ac:dyDescent="0.25">
      <c r="A6" s="211" t="str">
        <v>Waiver add</v>
      </c>
      <c r="B6" s="212" t="str">
        <v>Rachaad White</v>
      </c>
      <c r="C6" s="213" t="str">
        <v>RB</v>
      </c>
      <c r="D6" s="213" t="str">
        <v>WAS</v>
      </c>
      <c r="E6" s="214">
        <v>111.3</v>
      </c>
      <c r="F6" s="215">
        <v>12</v>
      </c>
      <c r="G6" s="215">
        <v>15</v>
      </c>
      <c r="H6" s="216">
        <v>3</v>
      </c>
      <c r="I6" s="213" t="str">
        <v/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6</v>
      </c>
    </row>
    <row r="7" spans="1:14" x14ac:dyDescent="0.25">
      <c r="A7" s="211" t="str">
        <v>Round 1</v>
      </c>
      <c r="B7" s="212" t="str">
        <v>James Conner</v>
      </c>
      <c r="C7" s="213" t="str">
        <v>RB</v>
      </c>
      <c r="D7" s="213" t="str">
        <v>ARI</v>
      </c>
      <c r="E7" s="214" t="str">
        <v/>
      </c>
      <c r="F7" s="215" t="str">
        <v/>
      </c>
      <c r="G7" s="215">
        <v>1</v>
      </c>
      <c r="H7" s="216" t="str">
        <v/>
      </c>
      <c r="I7" s="213" t="str">
        <v/>
      </c>
      <c r="J7" s="213" t="str">
        <v/>
      </c>
      <c r="K7" s="217" t="str">
        <v>Undrafted in mocks</v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Nico Collins</v>
      </c>
    </row>
    <row r="8" spans="1:14" x14ac:dyDescent="0.25">
      <c r="A8" s="211" t="str">
        <v>Waiver add</v>
      </c>
      <c r="B8" s="212" t="str">
        <v>Devin Neal</v>
      </c>
      <c r="C8" s="213" t="str">
        <v>RB</v>
      </c>
      <c r="D8" s="213" t="str">
        <v>NO</v>
      </c>
      <c r="E8" s="214" t="str">
        <v/>
      </c>
      <c r="F8" s="215" t="str">
        <v/>
      </c>
      <c r="G8" s="215">
        <v>15</v>
      </c>
      <c r="H8" s="216" t="str">
        <v/>
      </c>
      <c r="I8" s="213" t="str">
        <v/>
      </c>
      <c r="J8" s="213" t="str">
        <v/>
      </c>
      <c r="K8" s="217" t="str">
        <v>Undrafted in mocks</v>
      </c>
      <c r="M8" s="225" t="s">
        <v>496</v>
      </c>
      <c r="N8" s="228">
        <f>COUNTIFS('2026 Outlook'!$A$4:$A$162,$N$11,'2026 Outlook'!$F$4:$F$162,"")</f>
        <v>6</v>
      </c>
    </row>
    <row r="9" spans="1:14" ht="15.75" thickBot="1" x14ac:dyDescent="0.3">
      <c r="A9" s="211" t="str">
        <v>Round 9</v>
      </c>
      <c r="B9" s="212" t="str">
        <v>Nico Collins</v>
      </c>
      <c r="C9" s="213" t="str">
        <v>WR</v>
      </c>
      <c r="D9" s="213" t="str">
        <v>HOU</v>
      </c>
      <c r="E9" s="214">
        <v>23.8</v>
      </c>
      <c r="F9" s="215">
        <v>3</v>
      </c>
      <c r="G9" s="215">
        <v>9</v>
      </c>
      <c r="H9" s="216">
        <v>6</v>
      </c>
      <c r="I9" s="213" t="str">
        <v>★</v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3</v>
      </c>
    </row>
    <row r="10" spans="1:14" x14ac:dyDescent="0.25">
      <c r="A10" s="211" t="str">
        <v>Round 2</v>
      </c>
      <c r="B10" s="212" t="str">
        <v>Terry McLaurin</v>
      </c>
      <c r="C10" s="213" t="str">
        <v>WR</v>
      </c>
      <c r="D10" s="213" t="str">
        <v>WAS</v>
      </c>
      <c r="E10" s="214">
        <v>36.700000000000003</v>
      </c>
      <c r="F10" s="215">
        <v>4</v>
      </c>
      <c r="G10" s="215">
        <v>2</v>
      </c>
      <c r="H10" s="216">
        <v>-2</v>
      </c>
      <c r="I10" s="213" t="str">
        <v/>
      </c>
      <c r="J10" s="213" t="str">
        <v/>
      </c>
      <c r="K10" s="217" t="str">
        <v/>
      </c>
    </row>
    <row r="11" spans="1:14" x14ac:dyDescent="0.25">
      <c r="A11" s="211" t="str">
        <v>Round 8</v>
      </c>
      <c r="B11" s="212" t="str">
        <v>Chris Godwin Jr.</v>
      </c>
      <c r="C11" s="213" t="str">
        <v>WR</v>
      </c>
      <c r="D11" s="213" t="str">
        <v>TB</v>
      </c>
      <c r="E11" s="214">
        <v>81.5</v>
      </c>
      <c r="F11" s="215">
        <v>9</v>
      </c>
      <c r="G11" s="215">
        <v>8</v>
      </c>
      <c r="H11" s="216">
        <v>-1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472</v>
      </c>
    </row>
    <row r="12" spans="1:14" x14ac:dyDescent="0.25">
      <c r="A12" s="211" t="str">
        <v>Round 15</v>
      </c>
      <c r="B12" s="212" t="str">
        <v>Tyreek Hill</v>
      </c>
      <c r="C12" s="213" t="str">
        <v>WR</v>
      </c>
      <c r="D12" s="213" t="str">
        <v>MIA</v>
      </c>
      <c r="E12" s="214" t="str">
        <v/>
      </c>
      <c r="F12" s="215" t="str">
        <v/>
      </c>
      <c r="G12" s="215">
        <v>15</v>
      </c>
      <c r="H12" s="216" t="str">
        <v/>
      </c>
      <c r="I12" s="213" t="str">
        <v>★</v>
      </c>
      <c r="J12" s="213" t="str">
        <v>NA</v>
      </c>
      <c r="K12" s="217" t="str">
        <v>Undrafted in mocks</v>
      </c>
    </row>
    <row r="13" spans="1:14" x14ac:dyDescent="0.25">
      <c r="A13" s="211" t="str">
        <v>Waiver add</v>
      </c>
      <c r="B13" s="212" t="str">
        <v>Keenan Allen</v>
      </c>
      <c r="C13" s="213" t="str">
        <v>WR</v>
      </c>
      <c r="D13" s="213" t="str">
        <v>LAC</v>
      </c>
      <c r="E13" s="214" t="str">
        <v/>
      </c>
      <c r="F13" s="215" t="str">
        <v/>
      </c>
      <c r="G13" s="215">
        <v>15</v>
      </c>
      <c r="H13" s="216" t="str">
        <v/>
      </c>
      <c r="I13" s="213" t="str">
        <v/>
      </c>
      <c r="J13" s="213" t="str">
        <v>NA</v>
      </c>
      <c r="K13" s="217" t="str">
        <v>Undrafted in mocks</v>
      </c>
    </row>
    <row r="14" spans="1:14" x14ac:dyDescent="0.25">
      <c r="A14" s="211" t="str">
        <v>Waiver add</v>
      </c>
      <c r="B14" s="212" t="str">
        <v>Darnell Mooney</v>
      </c>
      <c r="C14" s="213" t="str">
        <v>WR</v>
      </c>
      <c r="D14" s="213" t="str">
        <v>NYG</v>
      </c>
      <c r="E14" s="214" t="str">
        <v/>
      </c>
      <c r="F14" s="215" t="str">
        <v/>
      </c>
      <c r="G14" s="215">
        <v>15</v>
      </c>
      <c r="H14" s="216" t="str">
        <v/>
      </c>
      <c r="I14" s="213" t="str">
        <v/>
      </c>
      <c r="J14" s="213" t="str">
        <v/>
      </c>
      <c r="K14" s="217" t="str">
        <v>Undrafted in mocks</v>
      </c>
    </row>
    <row r="15" spans="1:14" x14ac:dyDescent="0.25">
      <c r="A15" s="211" t="str">
        <v>Waiver add</v>
      </c>
      <c r="B15" s="212" t="str">
        <v>Keon Coleman</v>
      </c>
      <c r="C15" s="213" t="str">
        <v>WR</v>
      </c>
      <c r="D15" s="213" t="str">
        <v>BUF</v>
      </c>
      <c r="E15" s="214" t="str">
        <v/>
      </c>
      <c r="F15" s="215" t="str">
        <v/>
      </c>
      <c r="G15" s="215">
        <v>15</v>
      </c>
      <c r="H15" s="216" t="str">
        <v/>
      </c>
      <c r="I15" s="213" t="str">
        <v/>
      </c>
      <c r="J15" s="213" t="str">
        <v/>
      </c>
      <c r="K15" s="217" t="str">
        <v>Undrafted in mocks</v>
      </c>
    </row>
    <row r="16" spans="1:14" x14ac:dyDescent="0.25">
      <c r="A16" s="211" t="str">
        <v>Round 4</v>
      </c>
      <c r="B16" s="212" t="str">
        <v>George Kittle</v>
      </c>
      <c r="C16" s="213" t="str">
        <v>TE</v>
      </c>
      <c r="D16" s="213" t="str">
        <v>SF</v>
      </c>
      <c r="E16" s="214">
        <v>104.2</v>
      </c>
      <c r="F16" s="215">
        <v>11</v>
      </c>
      <c r="G16" s="215">
        <v>4</v>
      </c>
      <c r="H16" s="216">
        <v>-7</v>
      </c>
      <c r="I16" s="213" t="str">
        <v>★</v>
      </c>
      <c r="J16" s="213" t="str">
        <v>PUP-P</v>
      </c>
      <c r="K16" s="217" t="str">
        <v/>
      </c>
    </row>
    <row r="17" spans="1:11" x14ac:dyDescent="0.25">
      <c r="A17" s="211" t="str">
        <v>Waiver add</v>
      </c>
      <c r="B17" s="212" t="str">
        <v>Brenton Strange</v>
      </c>
      <c r="C17" s="213" t="str">
        <v>TE</v>
      </c>
      <c r="D17" s="213" t="str">
        <v>JAX</v>
      </c>
      <c r="E17" s="214">
        <v>143.9</v>
      </c>
      <c r="F17" s="215">
        <v>15</v>
      </c>
      <c r="G17" s="215">
        <v>15</v>
      </c>
      <c r="H17" s="216">
        <v>0</v>
      </c>
      <c r="I17" s="213" t="str">
        <v/>
      </c>
      <c r="J17" s="213" t="str">
        <v/>
      </c>
      <c r="K17" s="217" t="str">
        <v/>
      </c>
    </row>
    <row r="18" spans="1:11" x14ac:dyDescent="0.25">
      <c r="A18" s="211" t="str">
        <v>Waiver add</v>
      </c>
      <c r="B18" s="212" t="str">
        <v>Tyler Loop</v>
      </c>
      <c r="C18" s="213" t="str">
        <v>K</v>
      </c>
      <c r="D18" s="213" t="str">
        <v>BAL</v>
      </c>
      <c r="E18" s="214">
        <v>148.19999999999999</v>
      </c>
      <c r="F18" s="215">
        <v>15</v>
      </c>
      <c r="G18" s="215">
        <v>15</v>
      </c>
      <c r="H18" s="216">
        <v>0</v>
      </c>
      <c r="I18" s="213" t="str">
        <v/>
      </c>
      <c r="J18" s="213" t="str">
        <v/>
      </c>
      <c r="K18" s="217" t="str">
        <v/>
      </c>
    </row>
    <row r="19" spans="1:11" ht="15.75" thickBot="1" x14ac:dyDescent="0.3">
      <c r="A19" s="218" t="str">
        <v>Waiver add</v>
      </c>
      <c r="B19" s="219" t="str">
        <v>Texans</v>
      </c>
      <c r="C19" s="220" t="str">
        <v>DEF</v>
      </c>
      <c r="D19" s="220" t="str">
        <v>HOU</v>
      </c>
      <c r="E19" s="221">
        <v>107.7</v>
      </c>
      <c r="F19" s="222">
        <v>11</v>
      </c>
      <c r="G19" s="222">
        <v>15</v>
      </c>
      <c r="H19" s="223">
        <v>4</v>
      </c>
      <c r="I19" s="220" t="str">
        <v/>
      </c>
      <c r="J19" s="220" t="str">
        <v/>
      </c>
      <c r="K19" s="224" t="str">
        <v/>
      </c>
    </row>
    <row r="20" spans="1:11" ht="15.75" thickBot="1" x14ac:dyDescent="0.3">
      <c r="A20" s="169"/>
      <c r="B20" s="173"/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ht="20.100000000000001" customHeight="1" x14ac:dyDescent="0.25">
      <c r="A21" s="275" t="s">
        <v>513</v>
      </c>
      <c r="B21" s="276"/>
    </row>
    <row r="22" spans="1:11" x14ac:dyDescent="0.25">
      <c r="A22" s="231" t="s">
        <v>392</v>
      </c>
      <c r="B22" s="232">
        <f>COUNTIFS('2026 Outlook'!$A$4:$A$162,$N$11,'2026 Outlook'!$D$4:$D$162,"QB")</f>
        <v>1</v>
      </c>
    </row>
    <row r="23" spans="1:11" x14ac:dyDescent="0.25">
      <c r="A23" s="233" t="s">
        <v>393</v>
      </c>
      <c r="B23" s="234">
        <f>COUNTIFS('2026 Outlook'!$A$4:$A$162,$N$11,'2026 Outlook'!$D$4:$D$162,"RB")</f>
        <v>5</v>
      </c>
    </row>
    <row r="24" spans="1:11" x14ac:dyDescent="0.25">
      <c r="A24" s="235" t="s">
        <v>394</v>
      </c>
      <c r="B24" s="232">
        <f>COUNTIFS('2026 Outlook'!$A$4:$A$162,$N$11,'2026 Outlook'!$D$4:$D$162,"WR")</f>
        <v>7</v>
      </c>
    </row>
    <row r="25" spans="1:11" x14ac:dyDescent="0.25">
      <c r="A25" s="236" t="s">
        <v>395</v>
      </c>
      <c r="B25" s="234">
        <f>COUNTIFS('2026 Outlook'!$A$4:$A$162,$N$11,'2026 Outlook'!$D$4:$D$162,"TE")</f>
        <v>2</v>
      </c>
    </row>
    <row r="26" spans="1:11" x14ac:dyDescent="0.25">
      <c r="A26" s="237" t="s">
        <v>396</v>
      </c>
      <c r="B26" s="232">
        <f>COUNTIFS('2026 Outlook'!$A$4:$A$162,$N$11,'2026 Outlook'!$D$4:$D$162,"K")</f>
        <v>1</v>
      </c>
    </row>
    <row r="27" spans="1:11" x14ac:dyDescent="0.25">
      <c r="A27" s="238" t="s">
        <v>397</v>
      </c>
      <c r="B27" s="234">
        <f>COUNTIFS('2026 Outlook'!$A$4:$A$162,$N$11,'2026 Outlook'!$D$4:$D$162,"DEF")</f>
        <v>1</v>
      </c>
    </row>
    <row r="28" spans="1:11" ht="15.75" thickBot="1" x14ac:dyDescent="0.3">
      <c r="A28" s="239" t="s">
        <v>514</v>
      </c>
      <c r="B28" s="240">
        <f>SUM(B22:B27)</f>
        <v>17</v>
      </c>
    </row>
  </sheetData>
  <mergeCells count="3">
    <mergeCell ref="A1:K1"/>
    <mergeCell ref="M2:N2"/>
    <mergeCell ref="A21:B21"/>
  </mergeCells>
  <conditionalFormatting sqref="A3:K20">
    <cfRule type="expression" dxfId="23" priority="11">
      <formula>AND($B3&lt;&gt;"",MOD(ROW(),2)=0)</formula>
    </cfRule>
  </conditionalFormatting>
  <conditionalFormatting sqref="A4:K19">
    <cfRule type="expression" dxfId="22" priority="12">
      <formula>AND($C4&lt;&gt;"",$C4&lt;&gt;$C3)</formula>
    </cfRule>
  </conditionalFormatting>
  <conditionalFormatting sqref="C3:C20">
    <cfRule type="cellIs" dxfId="21" priority="1" operator="equal">
      <formula>"QB"</formula>
    </cfRule>
    <cfRule type="cellIs" dxfId="20" priority="2" operator="equal">
      <formula>"RB"</formula>
    </cfRule>
    <cfRule type="cellIs" dxfId="19" priority="3" operator="equal">
      <formula>"WR"</formula>
    </cfRule>
    <cfRule type="cellIs" dxfId="18" priority="4" operator="equal">
      <formula>"TE"</formula>
    </cfRule>
    <cfRule type="cellIs" dxfId="17" priority="5" operator="equal">
      <formula>"K"</formula>
    </cfRule>
    <cfRule type="cellIs" dxfId="16" priority="6" operator="equal">
      <formula>"DEF"</formula>
    </cfRule>
  </conditionalFormatting>
  <conditionalFormatting sqref="H3:H20">
    <cfRule type="cellIs" dxfId="15" priority="7" operator="greaterThan">
      <formula>0</formula>
    </cfRule>
    <cfRule type="cellIs" dxfId="14" priority="8" operator="lessThan">
      <formula>0</formula>
    </cfRule>
  </conditionalFormatting>
  <conditionalFormatting sqref="I3:I20">
    <cfRule type="containsText" dxfId="13" priority="9" operator="containsText" text="★">
      <formula>NOT(ISERROR(SEARCH("★",I3)))</formula>
    </cfRule>
  </conditionalFormatting>
  <conditionalFormatting sqref="J3:J20">
    <cfRule type="expression" dxfId="12" priority="10">
      <formula>$J3&lt;&gt;""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5035-EC88-4266-84BE-F6DA3CC50495}">
  <dimension ref="A1:N27"/>
  <sheetViews>
    <sheetView workbookViewId="0">
      <pane ySplit="2" topLeftCell="A3" activePane="bottomLeft" state="frozen"/>
      <selection pane="bottomLeft" sqref="A1:K18"/>
    </sheetView>
  </sheetViews>
  <sheetFormatPr defaultRowHeight="15" x14ac:dyDescent="0.25"/>
  <cols>
    <col min="1" max="1" width="16.140625" customWidth="1"/>
    <col min="2" max="2" width="31.42578125" customWidth="1"/>
    <col min="3" max="3" width="9.5703125" customWidth="1"/>
    <col min="4" max="4" width="21.85546875" customWidth="1"/>
    <col min="5" max="5" width="19" customWidth="1"/>
    <col min="6" max="6" width="16.140625" customWidth="1"/>
    <col min="7" max="7" width="19" customWidth="1"/>
    <col min="8" max="8" width="15.28515625" customWidth="1"/>
    <col min="9" max="9" width="18.140625" customWidth="1"/>
    <col min="10" max="10" width="19" customWidth="1"/>
    <col min="11" max="11" width="26.7109375" customWidth="1"/>
    <col min="12" max="12" width="3.42578125" customWidth="1"/>
    <col min="13" max="13" width="28.5703125" customWidth="1"/>
    <col min="14" max="15" width="24.7109375" customWidth="1"/>
    <col min="16" max="16" width="26.7109375" customWidth="1"/>
  </cols>
  <sheetData>
    <row r="1" spans="1:14" ht="30" customHeight="1" thickBot="1" x14ac:dyDescent="0.3">
      <c r="A1" s="274" t="s">
        <v>505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4" ht="42" customHeight="1" x14ac:dyDescent="0.25">
      <c r="A2" s="208" t="str">
        <f>'2026 Outlook'!B3</f>
        <v>2025 Slot</v>
      </c>
      <c r="B2" s="209" t="str">
        <f>'2026 Outlook'!C3</f>
        <v>Player</v>
      </c>
      <c r="C2" s="209" t="str">
        <f>'2026 Outlook'!D3</f>
        <v>Pos</v>
      </c>
      <c r="D2" s="209" t="str">
        <f>'2026 Outlook'!E3</f>
        <v>NFL Team (roster dump)</v>
      </c>
      <c r="E2" s="209" t="str">
        <f>'2026 Outlook'!F3</f>
        <v>2026 ADP (half PPR)</v>
      </c>
      <c r="F2" s="209" t="str">
        <f>'2026 Outlook'!G3</f>
        <v>ADP Round</v>
      </c>
      <c r="G2" s="209" t="str">
        <f>'2026 Outlook'!H3</f>
        <v>Keeper Cost (Rd)</v>
      </c>
      <c r="H2" s="209" t="str">
        <f>'2026 Outlook'!I3</f>
        <v>Value (Rd)</v>
      </c>
      <c r="I2" s="209" t="str">
        <f>'2026 Outlook'!J3</f>
        <v>Kept in 2025 (★)</v>
      </c>
      <c r="J2" s="209" t="str">
        <f>'2026 Outlook'!K3</f>
        <v>Status (roster dump)</v>
      </c>
      <c r="K2" s="210" t="str">
        <f>'2026 Outlook'!L3</f>
        <v>ADP fallback check</v>
      </c>
      <c r="M2" s="268" t="s">
        <v>491</v>
      </c>
      <c r="N2" s="270"/>
    </row>
    <row r="3" spans="1:14" x14ac:dyDescent="0.25">
      <c r="A3" s="211" t="str" cm="1">
        <f t="array" ref="A3:K18">_xlfn.LET(_xlpm.r,_xlfn._xlws.FILTER('2026 Outlook'!$B$4:$L$162,'2026 Outlook'!$A$4:$A$162=$N$11,"no players"),_xlpm.s,_xlfn.SORTBY(_xlpm.r,MATCH(INDEX(_xlpm.r,0,3),{"QB";"RB";"WR";"TE";"K";"DEF"},0),1,INDEX(_xlpm.r,0,5),1),IF(_xlpm.s="","",_xlpm.s))</f>
        <v>Round 5</v>
      </c>
      <c r="B3" s="212" t="str">
        <v>Joe Burrow</v>
      </c>
      <c r="C3" s="213" t="str">
        <v>QB</v>
      </c>
      <c r="D3" s="213" t="str">
        <v>CIN</v>
      </c>
      <c r="E3" s="214">
        <v>48.3</v>
      </c>
      <c r="F3" s="215">
        <v>5</v>
      </c>
      <c r="G3" s="215">
        <v>5</v>
      </c>
      <c r="H3" s="216">
        <v>0</v>
      </c>
      <c r="I3" s="213" t="str">
        <v/>
      </c>
      <c r="J3" s="213" t="str">
        <v/>
      </c>
      <c r="K3" s="217" t="str">
        <v/>
      </c>
      <c r="M3" s="44" t="s">
        <v>492</v>
      </c>
      <c r="N3" s="227">
        <f>COUNTIFS('2026 Outlook'!$A$4:$A$162,$N$11)</f>
        <v>16</v>
      </c>
    </row>
    <row r="4" spans="1:14" x14ac:dyDescent="0.25">
      <c r="A4" s="211" t="str">
        <v>Waiver add</v>
      </c>
      <c r="B4" s="212" t="str">
        <v>Drake Maye</v>
      </c>
      <c r="C4" s="213" t="str">
        <v>QB</v>
      </c>
      <c r="D4" s="213" t="str">
        <v>NE</v>
      </c>
      <c r="E4" s="214">
        <v>62.8</v>
      </c>
      <c r="F4" s="215">
        <v>7</v>
      </c>
      <c r="G4" s="215">
        <v>15</v>
      </c>
      <c r="H4" s="216">
        <v>8</v>
      </c>
      <c r="I4" s="213" t="str">
        <v/>
      </c>
      <c r="J4" s="213" t="str">
        <v/>
      </c>
      <c r="K4" s="217" t="str">
        <v/>
      </c>
      <c r="M4" s="225" t="s">
        <v>511</v>
      </c>
      <c r="N4" s="228">
        <f>COUNTIFS('2026 Outlook'!$A$4:$A$162,$N$11,'2026 Outlook'!$J$4:$J$162,"★")</f>
        <v>2</v>
      </c>
    </row>
    <row r="5" spans="1:14" x14ac:dyDescent="0.25">
      <c r="A5" s="211" t="str">
        <v>Round 1</v>
      </c>
      <c r="B5" s="212" t="str">
        <v>Ashton Jeanty</v>
      </c>
      <c r="C5" s="213" t="str">
        <v>RB</v>
      </c>
      <c r="D5" s="213" t="str">
        <v>LV</v>
      </c>
      <c r="E5" s="214">
        <v>13.6</v>
      </c>
      <c r="F5" s="215">
        <v>2</v>
      </c>
      <c r="G5" s="215">
        <v>1</v>
      </c>
      <c r="H5" s="216">
        <v>-1</v>
      </c>
      <c r="I5" s="213" t="str">
        <v/>
      </c>
      <c r="J5" s="213" t="str">
        <v/>
      </c>
      <c r="K5" s="217" t="str">
        <v/>
      </c>
      <c r="M5" s="44" t="s">
        <v>493</v>
      </c>
      <c r="N5" s="229">
        <f>IFERROR(AVERAGEIFS('2026 Outlook'!$F$4:$F$162,'2026 Outlook'!$A$4:$A$162,$N$11),"—")</f>
        <v>79.342857142857142</v>
      </c>
    </row>
    <row r="6" spans="1:14" x14ac:dyDescent="0.25">
      <c r="A6" s="211" t="str">
        <v>Round 10</v>
      </c>
      <c r="B6" s="212" t="str">
        <v>Javonte Williams</v>
      </c>
      <c r="C6" s="213" t="str">
        <v>RB</v>
      </c>
      <c r="D6" s="213" t="str">
        <v>DAL</v>
      </c>
      <c r="E6" s="214">
        <v>32.4</v>
      </c>
      <c r="F6" s="215">
        <v>4</v>
      </c>
      <c r="G6" s="215">
        <v>10</v>
      </c>
      <c r="H6" s="216">
        <v>6</v>
      </c>
      <c r="I6" s="213" t="str">
        <v/>
      </c>
      <c r="J6" s="213" t="str">
        <v/>
      </c>
      <c r="K6" s="217" t="str">
        <v/>
      </c>
      <c r="M6" s="225" t="s">
        <v>494</v>
      </c>
      <c r="N6" s="228">
        <f>IFERROR(_xlfn.MAXIFS('2026 Outlook'!$I$4:$I$162,'2026 Outlook'!$A$4:$A$162,$N$11),"—")</f>
        <v>9</v>
      </c>
    </row>
    <row r="7" spans="1:14" x14ac:dyDescent="0.25">
      <c r="A7" s="211" t="str">
        <v>Waiver add</v>
      </c>
      <c r="B7" s="212" t="str">
        <v>Woody Marks</v>
      </c>
      <c r="C7" s="213" t="str">
        <v>RB</v>
      </c>
      <c r="D7" s="213" t="str">
        <v>HOU</v>
      </c>
      <c r="E7" s="214">
        <v>147.30000000000001</v>
      </c>
      <c r="F7" s="215">
        <v>15</v>
      </c>
      <c r="G7" s="215">
        <v>15</v>
      </c>
      <c r="H7" s="216">
        <v>0</v>
      </c>
      <c r="I7" s="213" t="str">
        <v/>
      </c>
      <c r="J7" s="213" t="str">
        <v/>
      </c>
      <c r="K7" s="217" t="str">
        <v/>
      </c>
      <c r="M7" s="44" t="s">
        <v>495</v>
      </c>
      <c r="N7" s="227" t="str" cm="1">
        <f t="array" ref="N7">IFERROR(INDEX('2026 Outlook'!$C$4:$C$162,MATCH(1,('2026 Outlook'!$A$4:$A$162=$N$11)*('2026 Outlook'!$I$4:$I$162=$N$6),0)),"—")</f>
        <v>Christian Watson</v>
      </c>
    </row>
    <row r="8" spans="1:14" x14ac:dyDescent="0.25">
      <c r="A8" s="211" t="str">
        <v>Round 9</v>
      </c>
      <c r="B8" s="212" t="str">
        <v>Justin Jefferson</v>
      </c>
      <c r="C8" s="213" t="str">
        <v>WR</v>
      </c>
      <c r="D8" s="213" t="str">
        <v>MIN</v>
      </c>
      <c r="E8" s="214">
        <v>13.5</v>
      </c>
      <c r="F8" s="215">
        <v>2</v>
      </c>
      <c r="G8" s="215">
        <v>9</v>
      </c>
      <c r="H8" s="216">
        <v>7</v>
      </c>
      <c r="I8" s="213" t="str">
        <v>★</v>
      </c>
      <c r="J8" s="213" t="str">
        <v/>
      </c>
      <c r="K8" s="217" t="str">
        <v/>
      </c>
      <c r="M8" s="225" t="s">
        <v>496</v>
      </c>
      <c r="N8" s="228">
        <f>COUNTIFS('2026 Outlook'!$A$4:$A$162,$N$11,'2026 Outlook'!$F$4:$F$162,"")</f>
        <v>2</v>
      </c>
    </row>
    <row r="9" spans="1:14" ht="15.75" thickBot="1" x14ac:dyDescent="0.3">
      <c r="A9" s="211" t="str">
        <v>Round 4</v>
      </c>
      <c r="B9" s="212" t="str">
        <v>Jaylen Waddle</v>
      </c>
      <c r="C9" s="213" t="str">
        <v>WR</v>
      </c>
      <c r="D9" s="213" t="str">
        <v>DEN</v>
      </c>
      <c r="E9" s="214">
        <v>38.5</v>
      </c>
      <c r="F9" s="215">
        <v>4</v>
      </c>
      <c r="G9" s="215">
        <v>4</v>
      </c>
      <c r="H9" s="216">
        <v>0</v>
      </c>
      <c r="I9" s="213" t="str">
        <v/>
      </c>
      <c r="J9" s="213" t="str">
        <v/>
      </c>
      <c r="K9" s="217" t="str">
        <v/>
      </c>
      <c r="M9" s="226" t="s">
        <v>497</v>
      </c>
      <c r="N9" s="230">
        <f>COUNTIFS('2026 Outlook'!$A$4:$A$162,$N$11,'2026 Outlook'!$K$4:$K$162,"&lt;&gt;")</f>
        <v>2</v>
      </c>
    </row>
    <row r="10" spans="1:14" x14ac:dyDescent="0.25">
      <c r="A10" s="211" t="str">
        <v>Waiver add</v>
      </c>
      <c r="B10" s="212" t="str">
        <v>Christian Watson</v>
      </c>
      <c r="C10" s="213" t="str">
        <v>WR</v>
      </c>
      <c r="D10" s="213" t="str">
        <v>GB</v>
      </c>
      <c r="E10" s="214">
        <v>59.1</v>
      </c>
      <c r="F10" s="215">
        <v>6</v>
      </c>
      <c r="G10" s="215">
        <v>15</v>
      </c>
      <c r="H10" s="216">
        <v>9</v>
      </c>
      <c r="I10" s="213" t="str">
        <v/>
      </c>
      <c r="J10" s="213" t="str">
        <v/>
      </c>
      <c r="K10" s="217" t="str">
        <v/>
      </c>
    </row>
    <row r="11" spans="1:14" x14ac:dyDescent="0.25">
      <c r="A11" s="211" t="str">
        <v>Round 2</v>
      </c>
      <c r="B11" s="212" t="str">
        <v>Marvin Harrison Jr.</v>
      </c>
      <c r="C11" s="213" t="str">
        <v>WR</v>
      </c>
      <c r="D11" s="213" t="str">
        <v>ARI</v>
      </c>
      <c r="E11" s="214">
        <v>64.900000000000006</v>
      </c>
      <c r="F11" s="215">
        <v>7</v>
      </c>
      <c r="G11" s="215">
        <v>2</v>
      </c>
      <c r="H11" s="216">
        <v>-5</v>
      </c>
      <c r="I11" s="213" t="str">
        <v/>
      </c>
      <c r="J11" s="213" t="str">
        <v/>
      </c>
      <c r="K11" s="217" t="str">
        <v/>
      </c>
      <c r="M11" s="207" t="s">
        <v>512</v>
      </c>
      <c r="N11" s="207" t="s">
        <v>473</v>
      </c>
    </row>
    <row r="12" spans="1:14" x14ac:dyDescent="0.25">
      <c r="A12" s="211" t="str">
        <v>Waiver add</v>
      </c>
      <c r="B12" s="212" t="str">
        <v>Quentin Johnston</v>
      </c>
      <c r="C12" s="213" t="str">
        <v>WR</v>
      </c>
      <c r="D12" s="213" t="str">
        <v>LAC</v>
      </c>
      <c r="E12" s="214">
        <v>89.9</v>
      </c>
      <c r="F12" s="215">
        <v>9</v>
      </c>
      <c r="G12" s="215">
        <v>15</v>
      </c>
      <c r="H12" s="216">
        <v>6</v>
      </c>
      <c r="I12" s="213" t="str">
        <v/>
      </c>
      <c r="J12" s="213" t="str">
        <v/>
      </c>
      <c r="K12" s="217" t="str">
        <v/>
      </c>
    </row>
    <row r="13" spans="1:14" x14ac:dyDescent="0.25">
      <c r="A13" s="211" t="str">
        <v>Round 6</v>
      </c>
      <c r="B13" s="212" t="str">
        <v>Deebo Samuel</v>
      </c>
      <c r="C13" s="213" t="str">
        <v>WR</v>
      </c>
      <c r="D13" s="213" t="str">
        <v>WAS</v>
      </c>
      <c r="E13" s="214" t="str">
        <v/>
      </c>
      <c r="F13" s="215" t="str">
        <v/>
      </c>
      <c r="G13" s="215">
        <v>6</v>
      </c>
      <c r="H13" s="216" t="str">
        <v/>
      </c>
      <c r="I13" s="213" t="str">
        <v/>
      </c>
      <c r="J13" s="213" t="str">
        <v>NA</v>
      </c>
      <c r="K13" s="217" t="str">
        <v>Undrafted in mocks</v>
      </c>
    </row>
    <row r="14" spans="1:14" x14ac:dyDescent="0.25">
      <c r="A14" s="211" t="str">
        <v>Round 15</v>
      </c>
      <c r="B14" s="212" t="str">
        <v>Sam LaPorta</v>
      </c>
      <c r="C14" s="213" t="str">
        <v>TE</v>
      </c>
      <c r="D14" s="213" t="str">
        <v>DET</v>
      </c>
      <c r="E14" s="214">
        <v>80.8</v>
      </c>
      <c r="F14" s="215">
        <v>9</v>
      </c>
      <c r="G14" s="215">
        <v>15</v>
      </c>
      <c r="H14" s="216">
        <v>6</v>
      </c>
      <c r="I14" s="213" t="str">
        <v>★</v>
      </c>
      <c r="J14" s="213" t="str">
        <v/>
      </c>
      <c r="K14" s="217" t="str">
        <v/>
      </c>
    </row>
    <row r="15" spans="1:14" x14ac:dyDescent="0.25">
      <c r="A15" s="211" t="str">
        <v>Waiver add</v>
      </c>
      <c r="B15" s="212" t="str">
        <v>Hunter Henry</v>
      </c>
      <c r="C15" s="213" t="str">
        <v>TE</v>
      </c>
      <c r="D15" s="213" t="str">
        <v>NE</v>
      </c>
      <c r="E15" s="214">
        <v>148.1</v>
      </c>
      <c r="F15" s="215">
        <v>15</v>
      </c>
      <c r="G15" s="215">
        <v>15</v>
      </c>
      <c r="H15" s="216">
        <v>0</v>
      </c>
      <c r="I15" s="213" t="str">
        <v/>
      </c>
      <c r="J15" s="213" t="str">
        <v/>
      </c>
      <c r="K15" s="217" t="str">
        <v/>
      </c>
    </row>
    <row r="16" spans="1:14" x14ac:dyDescent="0.25">
      <c r="A16" s="211" t="str">
        <v>Waiver add</v>
      </c>
      <c r="B16" s="212" t="str">
        <v>Zach Ertz</v>
      </c>
      <c r="C16" s="213" t="str">
        <v>TE</v>
      </c>
      <c r="D16" s="213" t="str">
        <v>WAS</v>
      </c>
      <c r="E16" s="214" t="str">
        <v/>
      </c>
      <c r="F16" s="215" t="str">
        <v/>
      </c>
      <c r="G16" s="215">
        <v>15</v>
      </c>
      <c r="H16" s="216" t="str">
        <v/>
      </c>
      <c r="I16" s="213" t="str">
        <v/>
      </c>
      <c r="J16" s="213" t="str">
        <v>NA</v>
      </c>
      <c r="K16" s="217" t="str">
        <v>Undrafted in mocks</v>
      </c>
    </row>
    <row r="17" spans="1:11" x14ac:dyDescent="0.25">
      <c r="A17" s="211" t="str">
        <v>Round 14</v>
      </c>
      <c r="B17" s="212" t="str">
        <v>Chris Boswell</v>
      </c>
      <c r="C17" s="213" t="str">
        <v>K</v>
      </c>
      <c r="D17" s="213" t="str">
        <v>PIT</v>
      </c>
      <c r="E17" s="214">
        <v>179.4</v>
      </c>
      <c r="F17" s="215">
        <v>18</v>
      </c>
      <c r="G17" s="215">
        <v>14</v>
      </c>
      <c r="H17" s="216">
        <v>-4</v>
      </c>
      <c r="I17" s="213" t="str">
        <v/>
      </c>
      <c r="J17" s="213" t="str">
        <v/>
      </c>
      <c r="K17" s="217" t="str">
        <v/>
      </c>
    </row>
    <row r="18" spans="1:11" ht="15.75" thickBot="1" x14ac:dyDescent="0.3">
      <c r="A18" s="218" t="str">
        <v>Waiver add</v>
      </c>
      <c r="B18" s="219" t="str">
        <v>Jaguars</v>
      </c>
      <c r="C18" s="220" t="str">
        <v>DEF</v>
      </c>
      <c r="D18" s="220" t="str">
        <v>JAX</v>
      </c>
      <c r="E18" s="221">
        <v>132.19999999999999</v>
      </c>
      <c r="F18" s="222">
        <v>14</v>
      </c>
      <c r="G18" s="222">
        <v>15</v>
      </c>
      <c r="H18" s="223">
        <v>1</v>
      </c>
      <c r="I18" s="220" t="str">
        <v/>
      </c>
      <c r="J18" s="220" t="str">
        <v/>
      </c>
      <c r="K18" s="224" t="str">
        <v/>
      </c>
    </row>
    <row r="19" spans="1:11" ht="15.75" thickBot="1" x14ac:dyDescent="0.3">
      <c r="A19" s="169"/>
      <c r="B19" s="173"/>
      <c r="C19" s="157"/>
      <c r="D19" s="157"/>
      <c r="E19" s="158"/>
      <c r="F19" s="159"/>
      <c r="G19" s="159"/>
      <c r="H19" s="160"/>
      <c r="I19" s="157"/>
      <c r="J19" s="157"/>
      <c r="K19" s="157"/>
    </row>
    <row r="20" spans="1:11" ht="20.100000000000001" customHeight="1" x14ac:dyDescent="0.25">
      <c r="A20" s="275" t="s">
        <v>513</v>
      </c>
      <c r="B20" s="276"/>
      <c r="C20" s="157"/>
      <c r="D20" s="157"/>
      <c r="E20" s="158"/>
      <c r="F20" s="159"/>
      <c r="G20" s="159"/>
      <c r="H20" s="160"/>
      <c r="I20" s="157"/>
      <c r="J20" s="157"/>
      <c r="K20" s="157"/>
    </row>
    <row r="21" spans="1:11" x14ac:dyDescent="0.25">
      <c r="A21" s="231" t="s">
        <v>392</v>
      </c>
      <c r="B21" s="232">
        <f>COUNTIFS('2026 Outlook'!$A$4:$A$162,$N$11,'2026 Outlook'!$D$4:$D$162,"QB")</f>
        <v>2</v>
      </c>
    </row>
    <row r="22" spans="1:11" x14ac:dyDescent="0.25">
      <c r="A22" s="233" t="s">
        <v>393</v>
      </c>
      <c r="B22" s="234">
        <f>COUNTIFS('2026 Outlook'!$A$4:$A$162,$N$11,'2026 Outlook'!$D$4:$D$162,"RB")</f>
        <v>3</v>
      </c>
    </row>
    <row r="23" spans="1:11" x14ac:dyDescent="0.25">
      <c r="A23" s="235" t="s">
        <v>394</v>
      </c>
      <c r="B23" s="232">
        <f>COUNTIFS('2026 Outlook'!$A$4:$A$162,$N$11,'2026 Outlook'!$D$4:$D$162,"WR")</f>
        <v>6</v>
      </c>
    </row>
    <row r="24" spans="1:11" x14ac:dyDescent="0.25">
      <c r="A24" s="236" t="s">
        <v>395</v>
      </c>
      <c r="B24" s="234">
        <f>COUNTIFS('2026 Outlook'!$A$4:$A$162,$N$11,'2026 Outlook'!$D$4:$D$162,"TE")</f>
        <v>3</v>
      </c>
    </row>
    <row r="25" spans="1:11" x14ac:dyDescent="0.25">
      <c r="A25" s="237" t="s">
        <v>396</v>
      </c>
      <c r="B25" s="232">
        <f>COUNTIFS('2026 Outlook'!$A$4:$A$162,$N$11,'2026 Outlook'!$D$4:$D$162,"K")</f>
        <v>1</v>
      </c>
    </row>
    <row r="26" spans="1:11" x14ac:dyDescent="0.25">
      <c r="A26" s="238" t="s">
        <v>397</v>
      </c>
      <c r="B26" s="234">
        <f>COUNTIFS('2026 Outlook'!$A$4:$A$162,$N$11,'2026 Outlook'!$D$4:$D$162,"DEF")</f>
        <v>1</v>
      </c>
    </row>
    <row r="27" spans="1:11" ht="15.75" thickBot="1" x14ac:dyDescent="0.3">
      <c r="A27" s="239" t="s">
        <v>514</v>
      </c>
      <c r="B27" s="240">
        <f>SUM(B21:B26)</f>
        <v>16</v>
      </c>
    </row>
  </sheetData>
  <mergeCells count="3">
    <mergeCell ref="A1:K1"/>
    <mergeCell ref="M2:N2"/>
    <mergeCell ref="A20:B20"/>
  </mergeCells>
  <conditionalFormatting sqref="A3:K19 C20:K20">
    <cfRule type="expression" dxfId="11" priority="11">
      <formula>AND($B3&lt;&gt;"",MOD(ROW(),2)=0)</formula>
    </cfRule>
  </conditionalFormatting>
  <conditionalFormatting sqref="A4:K18">
    <cfRule type="expression" dxfId="10" priority="12">
      <formula>AND($C4&lt;&gt;"",$C4&lt;&gt;$C3)</formula>
    </cfRule>
  </conditionalFormatting>
  <conditionalFormatting sqref="C3:C20">
    <cfRule type="cellIs" dxfId="9" priority="1" operator="equal">
      <formula>"QB"</formula>
    </cfRule>
    <cfRule type="cellIs" dxfId="8" priority="2" operator="equal">
      <formula>"RB"</formula>
    </cfRule>
    <cfRule type="cellIs" dxfId="7" priority="3" operator="equal">
      <formula>"WR"</formula>
    </cfRule>
    <cfRule type="cellIs" dxfId="6" priority="4" operator="equal">
      <formula>"TE"</formula>
    </cfRule>
    <cfRule type="cellIs" dxfId="5" priority="5" operator="equal">
      <formula>"K"</formula>
    </cfRule>
    <cfRule type="cellIs" dxfId="4" priority="6" operator="equal">
      <formula>"DEF"</formula>
    </cfRule>
  </conditionalFormatting>
  <conditionalFormatting sqref="H3:H20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I3:I20">
    <cfRule type="containsText" dxfId="1" priority="9" operator="containsText" text="★">
      <formula>NOT(ISERROR(SEARCH("★",I3)))</formula>
    </cfRule>
  </conditionalFormatting>
  <conditionalFormatting sqref="J3:J20">
    <cfRule type="expression" dxfId="0" priority="10">
      <formula>$J3&lt;&gt;""</formula>
    </cfRule>
  </conditionalFormatting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5005-4304-4839-A569-4382B7D2F450}">
  <sheetPr>
    <tabColor theme="4" tint="-0.499984740745262"/>
  </sheetPr>
  <dimension ref="A1:K24"/>
  <sheetViews>
    <sheetView zoomScale="85" zoomScaleNormal="85" workbookViewId="0">
      <selection activeCell="A504" sqref="A504:V558"/>
    </sheetView>
  </sheetViews>
  <sheetFormatPr defaultColWidth="9.140625" defaultRowHeight="15" x14ac:dyDescent="0.25"/>
  <cols>
    <col min="1" max="1" width="14.28515625" style="1" customWidth="1"/>
    <col min="2" max="2" width="21.42578125" style="1" customWidth="1"/>
    <col min="3" max="3" width="21.7109375" style="1" customWidth="1"/>
    <col min="4" max="4" width="21.42578125" style="1" customWidth="1"/>
    <col min="5" max="5" width="22.28515625" style="1" customWidth="1"/>
    <col min="6" max="6" width="21.42578125" style="1" customWidth="1"/>
    <col min="7" max="8" width="21.42578125" style="1" bestFit="1" customWidth="1"/>
    <col min="9" max="9" width="19.28515625" style="1" customWidth="1"/>
    <col min="10" max="10" width="24.28515625" style="1" bestFit="1" customWidth="1"/>
    <col min="11" max="11" width="22.7109375" style="1" bestFit="1" customWidth="1"/>
    <col min="12" max="12" width="9.140625" style="1"/>
    <col min="13" max="13" width="16.7109375" style="1" bestFit="1" customWidth="1"/>
    <col min="14" max="14" width="9.42578125" style="1" bestFit="1" customWidth="1"/>
    <col min="15" max="16384" width="9.140625" style="1"/>
  </cols>
  <sheetData>
    <row r="1" spans="1:11" ht="27.75" customHeight="1" thickBot="1" x14ac:dyDescent="0.4">
      <c r="A1" s="250"/>
      <c r="B1" s="277" t="s">
        <v>190</v>
      </c>
      <c r="C1" s="278"/>
      <c r="D1" s="278"/>
      <c r="E1" s="278"/>
      <c r="F1" s="278"/>
      <c r="G1" s="278"/>
      <c r="H1" s="278"/>
      <c r="I1" s="278"/>
      <c r="J1" s="278"/>
      <c r="K1" s="279"/>
    </row>
    <row r="2" spans="1:11" ht="45.75" customHeight="1" thickBot="1" x14ac:dyDescent="0.3">
      <c r="A2" s="250"/>
      <c r="B2" s="13" t="s">
        <v>4</v>
      </c>
      <c r="C2" s="13" t="s">
        <v>5</v>
      </c>
      <c r="D2" s="20" t="s">
        <v>106</v>
      </c>
      <c r="E2" s="13" t="s">
        <v>1</v>
      </c>
      <c r="F2" s="21" t="s">
        <v>0</v>
      </c>
      <c r="G2" s="13" t="s">
        <v>2</v>
      </c>
      <c r="H2" s="13" t="s">
        <v>105</v>
      </c>
      <c r="I2" s="13" t="s">
        <v>104</v>
      </c>
      <c r="J2" s="21" t="s">
        <v>3</v>
      </c>
      <c r="K2" s="13" t="s">
        <v>76</v>
      </c>
    </row>
    <row r="3" spans="1:11" x14ac:dyDescent="0.25">
      <c r="A3" s="6" t="s">
        <v>6</v>
      </c>
      <c r="B3" s="27" t="s">
        <v>8</v>
      </c>
      <c r="C3" s="10" t="s">
        <v>148</v>
      </c>
      <c r="D3" s="30" t="s">
        <v>96</v>
      </c>
      <c r="E3" s="30" t="s">
        <v>95</v>
      </c>
      <c r="F3" s="10" t="s">
        <v>114</v>
      </c>
      <c r="G3" s="10" t="s">
        <v>149</v>
      </c>
      <c r="H3" s="10" t="s">
        <v>150</v>
      </c>
      <c r="I3" s="30" t="s">
        <v>10</v>
      </c>
      <c r="J3" s="10" t="s">
        <v>56</v>
      </c>
      <c r="K3" s="24" t="s">
        <v>138</v>
      </c>
    </row>
    <row r="4" spans="1:11" x14ac:dyDescent="0.25">
      <c r="A4" s="7" t="s">
        <v>11</v>
      </c>
      <c r="B4" s="28" t="s">
        <v>108</v>
      </c>
      <c r="C4" s="17" t="s">
        <v>151</v>
      </c>
      <c r="D4" s="17" t="s">
        <v>45</v>
      </c>
      <c r="E4" s="22" t="s">
        <v>68</v>
      </c>
      <c r="F4" s="22" t="s">
        <v>62</v>
      </c>
      <c r="G4" s="11" t="s">
        <v>54</v>
      </c>
      <c r="H4" s="11" t="s">
        <v>89</v>
      </c>
      <c r="I4" s="17" t="s">
        <v>66</v>
      </c>
      <c r="J4" s="17" t="s">
        <v>9</v>
      </c>
      <c r="K4" s="14" t="s">
        <v>71</v>
      </c>
    </row>
    <row r="5" spans="1:11" x14ac:dyDescent="0.25">
      <c r="A5" s="6" t="s">
        <v>14</v>
      </c>
      <c r="B5" s="16" t="s">
        <v>152</v>
      </c>
      <c r="C5" s="22" t="s">
        <v>81</v>
      </c>
      <c r="D5" s="17" t="s">
        <v>35</v>
      </c>
      <c r="E5" s="11" t="s">
        <v>153</v>
      </c>
      <c r="F5" s="11" t="s">
        <v>39</v>
      </c>
      <c r="G5" s="22" t="s">
        <v>7</v>
      </c>
      <c r="H5" s="11" t="s">
        <v>46</v>
      </c>
      <c r="I5" s="17" t="s">
        <v>55</v>
      </c>
      <c r="J5" s="22" t="s">
        <v>15</v>
      </c>
      <c r="K5" s="14" t="s">
        <v>65</v>
      </c>
    </row>
    <row r="6" spans="1:11" x14ac:dyDescent="0.25">
      <c r="A6" s="8" t="s">
        <v>16</v>
      </c>
      <c r="B6" s="16" t="s">
        <v>111</v>
      </c>
      <c r="C6" s="11" t="s">
        <v>49</v>
      </c>
      <c r="D6" s="11" t="s">
        <v>117</v>
      </c>
      <c r="E6" s="11" t="s">
        <v>51</v>
      </c>
      <c r="F6" s="11" t="s">
        <v>154</v>
      </c>
      <c r="G6" s="11" t="s">
        <v>155</v>
      </c>
      <c r="H6" s="11" t="s">
        <v>156</v>
      </c>
      <c r="I6" s="17" t="s">
        <v>118</v>
      </c>
      <c r="J6" s="22" t="s">
        <v>31</v>
      </c>
      <c r="K6" s="15" t="s">
        <v>157</v>
      </c>
    </row>
    <row r="7" spans="1:11" x14ac:dyDescent="0.25">
      <c r="A7" s="6" t="s">
        <v>18</v>
      </c>
      <c r="B7" s="16" t="s">
        <v>28</v>
      </c>
      <c r="C7" s="11" t="s">
        <v>41</v>
      </c>
      <c r="D7" s="17" t="s">
        <v>90</v>
      </c>
      <c r="E7" s="11" t="s">
        <v>116</v>
      </c>
      <c r="F7" s="22" t="s">
        <v>58</v>
      </c>
      <c r="G7" s="22" t="s">
        <v>19</v>
      </c>
      <c r="H7" s="11" t="s">
        <v>158</v>
      </c>
      <c r="I7" s="31" t="s">
        <v>128</v>
      </c>
      <c r="J7" s="11" t="s">
        <v>64</v>
      </c>
      <c r="K7" s="25" t="s">
        <v>67</v>
      </c>
    </row>
    <row r="8" spans="1:11" x14ac:dyDescent="0.25">
      <c r="A8" s="8" t="s">
        <v>21</v>
      </c>
      <c r="B8" s="16" t="s">
        <v>17</v>
      </c>
      <c r="C8" s="11" t="s">
        <v>22</v>
      </c>
      <c r="D8" s="11" t="s">
        <v>133</v>
      </c>
      <c r="E8" s="11" t="s">
        <v>124</v>
      </c>
      <c r="F8" s="11" t="s">
        <v>159</v>
      </c>
      <c r="G8" s="11" t="s">
        <v>72</v>
      </c>
      <c r="H8" s="11" t="s">
        <v>160</v>
      </c>
      <c r="I8" s="17" t="s">
        <v>113</v>
      </c>
      <c r="J8" s="11" t="s">
        <v>161</v>
      </c>
      <c r="K8" s="15" t="s">
        <v>48</v>
      </c>
    </row>
    <row r="9" spans="1:11" x14ac:dyDescent="0.25">
      <c r="A9" s="6" t="s">
        <v>23</v>
      </c>
      <c r="B9" s="16" t="s">
        <v>135</v>
      </c>
      <c r="C9" s="11" t="s">
        <v>162</v>
      </c>
      <c r="D9" s="17" t="s">
        <v>75</v>
      </c>
      <c r="E9" s="22" t="s">
        <v>136</v>
      </c>
      <c r="F9" s="17" t="s">
        <v>163</v>
      </c>
      <c r="G9" s="11" t="s">
        <v>164</v>
      </c>
      <c r="H9" s="22" t="s">
        <v>110</v>
      </c>
      <c r="I9" s="17" t="s">
        <v>59</v>
      </c>
      <c r="J9" s="17" t="s">
        <v>99</v>
      </c>
      <c r="K9" s="15" t="s">
        <v>129</v>
      </c>
    </row>
    <row r="10" spans="1:11" x14ac:dyDescent="0.25">
      <c r="A10" s="8" t="s">
        <v>25</v>
      </c>
      <c r="B10" s="16" t="s">
        <v>12</v>
      </c>
      <c r="C10" s="22" t="s">
        <v>115</v>
      </c>
      <c r="D10" s="11" t="s">
        <v>165</v>
      </c>
      <c r="E10" s="11" t="s">
        <v>166</v>
      </c>
      <c r="F10" s="11" t="s">
        <v>167</v>
      </c>
      <c r="G10" s="22" t="s">
        <v>119</v>
      </c>
      <c r="H10" s="22" t="s">
        <v>52</v>
      </c>
      <c r="I10" s="17" t="s">
        <v>168</v>
      </c>
      <c r="J10" s="11" t="s">
        <v>169</v>
      </c>
      <c r="K10" s="15" t="s">
        <v>86</v>
      </c>
    </row>
    <row r="11" spans="1:11" x14ac:dyDescent="0.25">
      <c r="A11" s="6" t="s">
        <v>27</v>
      </c>
      <c r="B11" s="16" t="s">
        <v>91</v>
      </c>
      <c r="C11" s="22" t="s">
        <v>29</v>
      </c>
      <c r="D11" s="17" t="s">
        <v>132</v>
      </c>
      <c r="E11" s="11" t="s">
        <v>170</v>
      </c>
      <c r="F11" s="11" t="s">
        <v>144</v>
      </c>
      <c r="G11" s="11" t="s">
        <v>92</v>
      </c>
      <c r="H11" s="11" t="s">
        <v>130</v>
      </c>
      <c r="I11" s="17" t="s">
        <v>13</v>
      </c>
      <c r="J11" s="22" t="s">
        <v>140</v>
      </c>
      <c r="K11" s="15" t="s">
        <v>147</v>
      </c>
    </row>
    <row r="12" spans="1:11" x14ac:dyDescent="0.25">
      <c r="A12" s="8" t="s">
        <v>30</v>
      </c>
      <c r="B12" s="16" t="s">
        <v>171</v>
      </c>
      <c r="C12" s="11" t="s">
        <v>20</v>
      </c>
      <c r="D12" s="11" t="s">
        <v>172</v>
      </c>
      <c r="E12" s="11" t="s">
        <v>173</v>
      </c>
      <c r="F12" s="11" t="s">
        <v>121</v>
      </c>
      <c r="G12" s="11" t="s">
        <v>93</v>
      </c>
      <c r="H12" s="11" t="s">
        <v>174</v>
      </c>
      <c r="I12" s="31" t="s">
        <v>88</v>
      </c>
      <c r="J12" s="11" t="s">
        <v>175</v>
      </c>
      <c r="K12" s="15" t="s">
        <v>112</v>
      </c>
    </row>
    <row r="13" spans="1:11" x14ac:dyDescent="0.25">
      <c r="A13" s="6" t="s">
        <v>32</v>
      </c>
      <c r="B13" s="16" t="s">
        <v>176</v>
      </c>
      <c r="C13" s="11" t="s">
        <v>177</v>
      </c>
      <c r="D13" s="11" t="s">
        <v>101</v>
      </c>
      <c r="E13" s="11" t="s">
        <v>107</v>
      </c>
      <c r="F13" s="11" t="s">
        <v>60</v>
      </c>
      <c r="G13" s="11" t="s">
        <v>178</v>
      </c>
      <c r="H13" s="11" t="s">
        <v>24</v>
      </c>
      <c r="I13" s="17" t="s">
        <v>98</v>
      </c>
      <c r="J13" s="11" t="s">
        <v>146</v>
      </c>
      <c r="K13" s="15" t="s">
        <v>80</v>
      </c>
    </row>
    <row r="14" spans="1:11" x14ac:dyDescent="0.25">
      <c r="A14" s="8" t="s">
        <v>33</v>
      </c>
      <c r="B14" s="16" t="s">
        <v>179</v>
      </c>
      <c r="C14" s="11" t="s">
        <v>180</v>
      </c>
      <c r="D14" s="11" t="s">
        <v>143</v>
      </c>
      <c r="E14" s="11" t="s">
        <v>181</v>
      </c>
      <c r="F14" s="11" t="s">
        <v>79</v>
      </c>
      <c r="G14" s="11" t="s">
        <v>188</v>
      </c>
      <c r="H14" s="11" t="s">
        <v>191</v>
      </c>
      <c r="I14" s="17" t="s">
        <v>102</v>
      </c>
      <c r="J14" s="11" t="s">
        <v>186</v>
      </c>
      <c r="K14" s="15" t="s">
        <v>61</v>
      </c>
    </row>
    <row r="15" spans="1:11" x14ac:dyDescent="0.25">
      <c r="A15" s="6" t="s">
        <v>34</v>
      </c>
      <c r="B15" s="28" t="s">
        <v>36</v>
      </c>
      <c r="C15" s="11" t="s">
        <v>192</v>
      </c>
      <c r="D15" s="31" t="s">
        <v>44</v>
      </c>
      <c r="E15" s="11" t="s">
        <v>137</v>
      </c>
      <c r="F15" s="11" t="s">
        <v>193</v>
      </c>
      <c r="G15" s="11" t="s">
        <v>57</v>
      </c>
      <c r="H15" s="11" t="s">
        <v>189</v>
      </c>
      <c r="I15" s="18" t="s">
        <v>70</v>
      </c>
      <c r="J15" s="11" t="s">
        <v>100</v>
      </c>
      <c r="K15" s="15" t="s">
        <v>187</v>
      </c>
    </row>
    <row r="16" spans="1:11" x14ac:dyDescent="0.25">
      <c r="A16" s="9" t="s">
        <v>37</v>
      </c>
      <c r="B16" s="16" t="s">
        <v>74</v>
      </c>
      <c r="C16" s="11" t="s">
        <v>145</v>
      </c>
      <c r="D16" s="31" t="s">
        <v>97</v>
      </c>
      <c r="E16" s="11" t="s">
        <v>123</v>
      </c>
      <c r="F16" s="22" t="s">
        <v>38</v>
      </c>
      <c r="G16" s="35" t="s">
        <v>53</v>
      </c>
      <c r="H16" s="22" t="s">
        <v>84</v>
      </c>
      <c r="I16" s="31" t="s">
        <v>141</v>
      </c>
      <c r="J16" s="11" t="s">
        <v>194</v>
      </c>
      <c r="K16" s="25" t="s">
        <v>73</v>
      </c>
    </row>
    <row r="17" spans="1:11" ht="15.75" thickBot="1" x14ac:dyDescent="0.3">
      <c r="A17" s="6" t="s">
        <v>40</v>
      </c>
      <c r="B17" s="29" t="s">
        <v>43</v>
      </c>
      <c r="C17" s="23" t="s">
        <v>103</v>
      </c>
      <c r="D17" s="32" t="s">
        <v>78</v>
      </c>
      <c r="E17" s="12" t="s">
        <v>50</v>
      </c>
      <c r="F17" s="34" t="s">
        <v>94</v>
      </c>
      <c r="G17" s="33" t="s">
        <v>47</v>
      </c>
      <c r="H17" s="23" t="s">
        <v>120</v>
      </c>
      <c r="I17" s="19" t="s">
        <v>109</v>
      </c>
      <c r="J17" s="33" t="s">
        <v>42</v>
      </c>
      <c r="K17" s="26" t="s">
        <v>131</v>
      </c>
    </row>
    <row r="18" spans="1:11" x14ac:dyDescent="0.2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D19" s="3"/>
    </row>
    <row r="20" spans="1:11" x14ac:dyDescent="0.25">
      <c r="D20" s="3"/>
    </row>
    <row r="21" spans="1:11" x14ac:dyDescent="0.25">
      <c r="D21" s="3"/>
    </row>
    <row r="22" spans="1:11" x14ac:dyDescent="0.25">
      <c r="B22" s="2"/>
      <c r="D22" s="3"/>
    </row>
    <row r="23" spans="1:11" x14ac:dyDescent="0.25">
      <c r="B23" s="2"/>
      <c r="D23" s="3"/>
    </row>
    <row r="24" spans="1:11" x14ac:dyDescent="0.25">
      <c r="B24" s="2"/>
      <c r="D24" s="3"/>
    </row>
  </sheetData>
  <mergeCells count="2">
    <mergeCell ref="A1:A2"/>
    <mergeCell ref="B1:K1"/>
  </mergeCell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9E2E-F491-4BB5-8CE4-3F1F7DD1AAEA}">
  <sheetPr>
    <tabColor theme="4" tint="-0.499984740745262"/>
  </sheetPr>
  <dimension ref="A1:K25"/>
  <sheetViews>
    <sheetView workbookViewId="0">
      <selection activeCell="A504" sqref="A504:V558"/>
    </sheetView>
  </sheetViews>
  <sheetFormatPr defaultColWidth="9.140625" defaultRowHeight="15" x14ac:dyDescent="0.25"/>
  <cols>
    <col min="1" max="1" width="14.28515625" style="1" customWidth="1"/>
    <col min="2" max="2" width="21.42578125" style="1" customWidth="1"/>
    <col min="3" max="3" width="21.7109375" style="1" customWidth="1"/>
    <col min="4" max="4" width="21.42578125" style="1" customWidth="1"/>
    <col min="5" max="5" width="22.28515625" style="1" customWidth="1"/>
    <col min="6" max="6" width="21.42578125" style="1" customWidth="1"/>
    <col min="7" max="8" width="21.42578125" style="1" bestFit="1" customWidth="1"/>
    <col min="9" max="9" width="19.28515625" style="1" customWidth="1"/>
    <col min="10" max="10" width="24.28515625" style="1" bestFit="1" customWidth="1"/>
    <col min="11" max="11" width="22.7109375" style="1" bestFit="1" customWidth="1"/>
    <col min="12" max="12" width="9.140625" style="1"/>
    <col min="13" max="13" width="16.7109375" style="1" bestFit="1" customWidth="1"/>
    <col min="14" max="14" width="9.42578125" style="1" bestFit="1" customWidth="1"/>
    <col min="15" max="16384" width="9.140625" style="1"/>
  </cols>
  <sheetData>
    <row r="1" spans="1:11" ht="27.75" customHeight="1" thickBot="1" x14ac:dyDescent="0.4">
      <c r="A1" s="250"/>
      <c r="B1" s="277" t="s">
        <v>489</v>
      </c>
      <c r="C1" s="278"/>
      <c r="D1" s="278"/>
      <c r="E1" s="278"/>
      <c r="F1" s="278"/>
      <c r="G1" s="278"/>
      <c r="H1" s="278"/>
      <c r="I1" s="278"/>
      <c r="J1" s="278"/>
      <c r="K1" s="279"/>
    </row>
    <row r="2" spans="1:11" ht="45.75" customHeight="1" thickBot="1" x14ac:dyDescent="0.3">
      <c r="A2" s="250"/>
      <c r="B2" s="13" t="s">
        <v>4</v>
      </c>
      <c r="C2" s="13" t="s">
        <v>5</v>
      </c>
      <c r="D2" s="20" t="s">
        <v>106</v>
      </c>
      <c r="E2" s="13" t="s">
        <v>1</v>
      </c>
      <c r="F2" s="21" t="s">
        <v>0</v>
      </c>
      <c r="G2" s="13" t="s">
        <v>2</v>
      </c>
      <c r="H2" s="13" t="s">
        <v>105</v>
      </c>
      <c r="I2" s="13" t="s">
        <v>104</v>
      </c>
      <c r="J2" s="21" t="s">
        <v>3</v>
      </c>
      <c r="K2" s="13" t="s">
        <v>76</v>
      </c>
    </row>
    <row r="3" spans="1:11" x14ac:dyDescent="0.25">
      <c r="A3" s="6" t="s">
        <v>6</v>
      </c>
      <c r="B3" s="27" t="s">
        <v>8</v>
      </c>
      <c r="C3" s="10"/>
      <c r="D3" s="30" t="s">
        <v>96</v>
      </c>
      <c r="E3" s="30" t="s">
        <v>95</v>
      </c>
      <c r="F3" s="10"/>
      <c r="G3" s="10"/>
      <c r="H3" s="10"/>
      <c r="I3" s="30" t="s">
        <v>10</v>
      </c>
      <c r="J3" s="10"/>
      <c r="K3" s="24" t="s">
        <v>138</v>
      </c>
    </row>
    <row r="4" spans="1:11" x14ac:dyDescent="0.25">
      <c r="A4" s="7" t="s">
        <v>11</v>
      </c>
      <c r="B4" s="28" t="s">
        <v>108</v>
      </c>
      <c r="C4" s="17"/>
      <c r="D4" s="17"/>
      <c r="E4" s="22" t="s">
        <v>68</v>
      </c>
      <c r="F4" s="22" t="s">
        <v>62</v>
      </c>
      <c r="G4" s="11"/>
      <c r="H4" s="11"/>
      <c r="I4" s="17"/>
      <c r="J4" s="17"/>
      <c r="K4" s="14"/>
    </row>
    <row r="5" spans="1:11" x14ac:dyDescent="0.25">
      <c r="A5" s="6" t="s">
        <v>14</v>
      </c>
      <c r="B5" s="16"/>
      <c r="C5" s="22" t="s">
        <v>81</v>
      </c>
      <c r="D5" s="17"/>
      <c r="E5" s="11"/>
      <c r="F5" s="11"/>
      <c r="G5" s="22" t="s">
        <v>7</v>
      </c>
      <c r="H5" s="11"/>
      <c r="I5" s="17"/>
      <c r="J5" s="22" t="s">
        <v>15</v>
      </c>
      <c r="K5" s="14"/>
    </row>
    <row r="6" spans="1:11" x14ac:dyDescent="0.25">
      <c r="A6" s="8" t="s">
        <v>16</v>
      </c>
      <c r="B6" s="16"/>
      <c r="C6" s="11"/>
      <c r="D6" s="11"/>
      <c r="E6" s="11"/>
      <c r="F6" s="11"/>
      <c r="G6" s="11"/>
      <c r="H6" s="11"/>
      <c r="I6" s="17"/>
      <c r="J6" s="22" t="s">
        <v>31</v>
      </c>
      <c r="K6" s="15"/>
    </row>
    <row r="7" spans="1:11" x14ac:dyDescent="0.25">
      <c r="A7" s="6" t="s">
        <v>18</v>
      </c>
      <c r="B7" s="16"/>
      <c r="C7" s="11"/>
      <c r="D7" s="17"/>
      <c r="E7" s="11"/>
      <c r="F7" s="22" t="s">
        <v>58</v>
      </c>
      <c r="G7" s="22" t="s">
        <v>19</v>
      </c>
      <c r="H7" s="11"/>
      <c r="I7" s="31" t="s">
        <v>128</v>
      </c>
      <c r="J7" s="11"/>
      <c r="K7" s="25" t="s">
        <v>67</v>
      </c>
    </row>
    <row r="8" spans="1:11" x14ac:dyDescent="0.25">
      <c r="A8" s="8" t="s">
        <v>21</v>
      </c>
      <c r="B8" s="16"/>
      <c r="C8" s="11"/>
      <c r="D8" s="11"/>
      <c r="E8" s="11"/>
      <c r="F8" s="11"/>
      <c r="G8" s="11"/>
      <c r="H8" s="11"/>
      <c r="I8" s="17"/>
      <c r="J8" s="11"/>
      <c r="K8" s="15"/>
    </row>
    <row r="9" spans="1:11" x14ac:dyDescent="0.25">
      <c r="A9" s="6" t="s">
        <v>23</v>
      </c>
      <c r="B9" s="16"/>
      <c r="C9" s="11"/>
      <c r="D9" s="17"/>
      <c r="E9" s="22" t="s">
        <v>136</v>
      </c>
      <c r="F9" s="17"/>
      <c r="G9" s="11"/>
      <c r="H9" s="22" t="s">
        <v>110</v>
      </c>
      <c r="I9" s="17"/>
      <c r="J9" s="17"/>
      <c r="K9" s="15"/>
    </row>
    <row r="10" spans="1:11" x14ac:dyDescent="0.25">
      <c r="A10" s="8" t="s">
        <v>25</v>
      </c>
      <c r="B10" s="16"/>
      <c r="C10" s="22" t="s">
        <v>115</v>
      </c>
      <c r="D10" s="11"/>
      <c r="E10" s="11"/>
      <c r="F10" s="11"/>
      <c r="G10" s="22" t="s">
        <v>119</v>
      </c>
      <c r="H10" s="22" t="s">
        <v>52</v>
      </c>
      <c r="I10" s="17"/>
      <c r="J10" s="11"/>
      <c r="K10" s="15"/>
    </row>
    <row r="11" spans="1:11" x14ac:dyDescent="0.25">
      <c r="A11" s="6" t="s">
        <v>27</v>
      </c>
      <c r="B11" s="16"/>
      <c r="C11" s="22" t="s">
        <v>29</v>
      </c>
      <c r="D11" s="17"/>
      <c r="E11" s="11"/>
      <c r="F11" s="11"/>
      <c r="G11" s="11"/>
      <c r="H11" s="11"/>
      <c r="I11" s="17"/>
      <c r="J11" s="22" t="s">
        <v>140</v>
      </c>
      <c r="K11" s="15"/>
    </row>
    <row r="12" spans="1:11" x14ac:dyDescent="0.25">
      <c r="A12" s="8" t="s">
        <v>30</v>
      </c>
      <c r="B12" s="16"/>
      <c r="C12" s="11"/>
      <c r="D12" s="11"/>
      <c r="E12" s="11"/>
      <c r="F12" s="11"/>
      <c r="G12" s="11"/>
      <c r="H12" s="11"/>
      <c r="I12" s="31" t="s">
        <v>88</v>
      </c>
      <c r="J12" s="11"/>
      <c r="K12" s="15"/>
    </row>
    <row r="13" spans="1:11" x14ac:dyDescent="0.25">
      <c r="A13" s="6" t="s">
        <v>32</v>
      </c>
      <c r="B13" s="16"/>
      <c r="C13" s="11"/>
      <c r="D13" s="11"/>
      <c r="E13" s="11"/>
      <c r="F13" s="11"/>
      <c r="G13" s="11"/>
      <c r="H13" s="11"/>
      <c r="I13" s="17"/>
      <c r="J13" s="11"/>
      <c r="K13" s="15"/>
    </row>
    <row r="14" spans="1:11" x14ac:dyDescent="0.25">
      <c r="A14" s="8" t="s">
        <v>33</v>
      </c>
      <c r="B14" s="16"/>
      <c r="C14" s="11"/>
      <c r="D14" s="11"/>
      <c r="E14" s="11"/>
      <c r="F14" s="11"/>
      <c r="G14" s="11"/>
      <c r="H14" s="11"/>
      <c r="I14" s="17"/>
      <c r="J14" s="11"/>
      <c r="K14" s="15"/>
    </row>
    <row r="15" spans="1:11" x14ac:dyDescent="0.25">
      <c r="A15" s="6" t="s">
        <v>34</v>
      </c>
      <c r="B15" s="28" t="s">
        <v>36</v>
      </c>
      <c r="C15" s="11"/>
      <c r="D15" s="31" t="s">
        <v>44</v>
      </c>
      <c r="E15" s="11"/>
      <c r="F15" s="11"/>
      <c r="G15" s="11"/>
      <c r="H15" s="11"/>
      <c r="I15" s="18"/>
      <c r="J15" s="11"/>
      <c r="K15" s="15"/>
    </row>
    <row r="16" spans="1:11" x14ac:dyDescent="0.25">
      <c r="A16" s="9" t="s">
        <v>37</v>
      </c>
      <c r="B16" s="16"/>
      <c r="C16" s="11"/>
      <c r="D16" s="31" t="s">
        <v>97</v>
      </c>
      <c r="E16" s="11"/>
      <c r="F16" s="22" t="s">
        <v>38</v>
      </c>
      <c r="G16" s="35"/>
      <c r="H16" s="22" t="s">
        <v>84</v>
      </c>
      <c r="I16" s="31" t="s">
        <v>141</v>
      </c>
      <c r="J16" s="11"/>
      <c r="K16" s="25" t="s">
        <v>73</v>
      </c>
    </row>
    <row r="17" spans="1:11" ht="15.75" thickBot="1" x14ac:dyDescent="0.3">
      <c r="A17" s="6" t="s">
        <v>40</v>
      </c>
      <c r="B17" s="29" t="s">
        <v>43</v>
      </c>
      <c r="C17" s="23" t="s">
        <v>103</v>
      </c>
      <c r="D17" s="32" t="s">
        <v>78</v>
      </c>
      <c r="E17" s="12"/>
      <c r="F17" s="34" t="s">
        <v>94</v>
      </c>
      <c r="G17" s="33" t="s">
        <v>47</v>
      </c>
      <c r="H17" s="23" t="s">
        <v>120</v>
      </c>
      <c r="I17" s="19"/>
      <c r="J17" s="33" t="s">
        <v>42</v>
      </c>
      <c r="K17" s="26" t="s">
        <v>131</v>
      </c>
    </row>
    <row r="18" spans="1:11" x14ac:dyDescent="0.2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D19" s="3"/>
    </row>
    <row r="20" spans="1:11" x14ac:dyDescent="0.25">
      <c r="D20" s="3"/>
    </row>
    <row r="21" spans="1:11" x14ac:dyDescent="0.25">
      <c r="D21" s="3"/>
    </row>
    <row r="22" spans="1:11" x14ac:dyDescent="0.25">
      <c r="D22" s="3"/>
    </row>
    <row r="23" spans="1:11" x14ac:dyDescent="0.25">
      <c r="B23" s="2"/>
      <c r="D23" s="3"/>
    </row>
    <row r="24" spans="1:11" x14ac:dyDescent="0.25">
      <c r="B24" s="2"/>
      <c r="D24" s="3"/>
    </row>
    <row r="25" spans="1:11" x14ac:dyDescent="0.25">
      <c r="B25" s="2"/>
      <c r="D25" s="3"/>
    </row>
  </sheetData>
  <mergeCells count="2">
    <mergeCell ref="A1:A2"/>
    <mergeCell ref="B1:K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2026 Outlook</vt:lpstr>
      <vt:lpstr>2025 Rosters</vt:lpstr>
      <vt:lpstr>Allen's Wayside Furniture</vt:lpstr>
      <vt:lpstr>Dumpster Fire</vt:lpstr>
      <vt:lpstr>Huge Ditka</vt:lpstr>
      <vt:lpstr>Jimmy Jones Cutlets</vt:lpstr>
      <vt:lpstr>Leeroy Judkins</vt:lpstr>
      <vt:lpstr>My Ball Zach Ertz</vt:lpstr>
      <vt:lpstr>Prestige Worldwide</vt:lpstr>
      <vt:lpstr>Run CMC</vt:lpstr>
      <vt:lpstr>Terry Glenn</vt:lpstr>
      <vt:lpstr>White Pool Covers</vt:lpstr>
      <vt:lpstr>2025 Draft Results</vt:lpstr>
      <vt:lpstr>2025 Keepers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Jimmie Legs</dc:creator>
  <cp:lastModifiedBy>Jimmie Legs</cp:lastModifiedBy>
  <cp:lastPrinted>2026-07-26T22:00:32Z</cp:lastPrinted>
  <dcterms:created xsi:type="dcterms:W3CDTF">2022-08-28T18:47:42Z</dcterms:created>
  <dcterms:modified xsi:type="dcterms:W3CDTF">2026-08-18T01:44:17Z</dcterms:modified>
</cp:coreProperties>
</file>